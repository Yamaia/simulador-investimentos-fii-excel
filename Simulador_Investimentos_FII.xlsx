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ulador" sheetId="1" state="visible" r:id="rId3"/>
    <sheet name="Evolução Mens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Valor aportado no fundo no mês 0, antes de qualquer aporte mensal.</t>
        </r>
      </text>
    </comment>
    <comment ref="C7" authorId="0">
      <text>
        <r>
          <rPr>
            <sz val="10"/>
            <rFont val="Arial"/>
            <family val="2"/>
          </rPr>
          <t xml:space="preserve">Valor que você pretende investir todo mês, além do valor inicial.</t>
        </r>
      </text>
    </comment>
    <comment ref="C8" authorId="0">
      <text>
        <r>
          <rPr>
            <sz val="10"/>
            <rFont val="Arial"/>
            <family val="2"/>
          </rPr>
          <t xml:space="preserve">Dividend yield mensal médio esperado do FII. Ex.: 0,8% ao mês. Consulte o histórico de dividendos do fundo (site da B3 ou do administrador) para estimar este valor.</t>
        </r>
      </text>
    </comment>
    <comment ref="C9" authorId="0">
      <text>
        <r>
          <rPr>
            <sz val="10"/>
            <rFont val="Arial"/>
            <family val="2"/>
          </rPr>
          <t xml:space="preserve">Por quantos meses você pretende manter o investimento. A aba 'Evolução Mensal' está preparada para até 60 meses; para prazos maiores, copie a última linha da tabela para baixo.</t>
        </r>
      </text>
    </comment>
    <comment ref="C10" authorId="0">
      <text>
        <r>
          <rPr>
            <sz val="10"/>
            <rFont val="Arial"/>
            <family val="2"/>
          </rPr>
          <t xml:space="preserve">Se 'Sim', os dividendos recebidos todo mês são somados ao patrimônio (juros compostos). Se 'Não', os dividendos são acumulados separadamente, como se fossem sacados em dinheiro.</t>
        </r>
      </text>
    </comment>
  </commentList>
</comments>
</file>

<file path=xl/sharedStrings.xml><?xml version="1.0" encoding="utf-8"?>
<sst xmlns="http://schemas.openxmlformats.org/spreadsheetml/2006/main" count="30" uniqueCount="30">
  <si>
    <t xml:space="preserve">Simulador de Investimentos em Fundos Imobiliários (FIIs)</t>
  </si>
  <si>
    <t xml:space="preserve">Legenda</t>
  </si>
  <si>
    <t xml:space="preserve">Preencha as células em amarelo com os dados da sua simulação</t>
  </si>
  <si>
    <t xml:space="preserve">Amarelo + azul = célula de entrada (edite aqui)</t>
  </si>
  <si>
    <t xml:space="preserve">Azul claro = resultado calculado automaticamente</t>
  </si>
  <si>
    <t xml:space="preserve">PARÂMETROS DA SIMULAÇÃO</t>
  </si>
  <si>
    <t xml:space="preserve">Aba 'Evolução Mensal' mostra o detalhamento mês a mês</t>
  </si>
  <si>
    <t xml:space="preserve">Valor Inicial Investido</t>
  </si>
  <si>
    <t xml:space="preserve">Aporte Mensal</t>
  </si>
  <si>
    <t xml:space="preserve">Taxa de Rendimento Mensal (%)</t>
  </si>
  <si>
    <t xml:space="preserve">Prazo da Simulação (meses)</t>
  </si>
  <si>
    <t xml:space="preserve">Reinvestir Dividendos? (Sim/Não)</t>
  </si>
  <si>
    <t xml:space="preserve">Sim</t>
  </si>
  <si>
    <t xml:space="preserve">RESULTADO DA SIMULAÇÃO</t>
  </si>
  <si>
    <t xml:space="preserve">Total Investido (aportes)</t>
  </si>
  <si>
    <t xml:space="preserve">Patrimônio Acumulado ao Final do Prazo</t>
  </si>
  <si>
    <t xml:space="preserve">Total de Dividendos Recebidos no Período</t>
  </si>
  <si>
    <t xml:space="preserve">Saldo em Caixa (dividendos não reinvestidos)</t>
  </si>
  <si>
    <t xml:space="preserve">Retorno Total sobre o Investido (%)</t>
  </si>
  <si>
    <t xml:space="preserve">Fonte: valores de entrada informados pelo usuário; fórmulas calculadas automaticamente.</t>
  </si>
  <si>
    <t xml:space="preserve">Mês</t>
  </si>
  <si>
    <t xml:space="preserve">Patrimônio no Início do Mês (R$)</t>
  </si>
  <si>
    <t xml:space="preserve">Aporte do Mês (R$)</t>
  </si>
  <si>
    <t xml:space="preserve">Dividendo do Mês (R$)</t>
  </si>
  <si>
    <t xml:space="preserve">Reinvestimento do Mês (R$)</t>
  </si>
  <si>
    <t xml:space="preserve">Patrimônio no Final do Mês (R$)</t>
  </si>
  <si>
    <t xml:space="preserve">Dividendos Acumulados (R$)</t>
  </si>
  <si>
    <t xml:space="preserve">Caixa Acumulado - Não Reinvestido (R$)</t>
  </si>
  <si>
    <t xml:space="preserve">Total Investido Acumulado (R$)</t>
  </si>
  <si>
    <t xml:space="preserve">Para simular mais de 60 meses: selecione a última linha (linha 61) e arraste/copie a fórmula para baixo pelo número de meses adicionais desejado.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</si>
</sst>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;[RED]&quot;-R$ &quot;#,##0.00"/>
    <numFmt numFmtId="166" formatCode="0.00%"/>
    <numFmt numFmtId="167" formatCode="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1F4E7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8"/>
      <color rgb="FF999999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  <fill>
      <patternFill patternType="solid">
        <fgColor rgb="FF2E75B6"/>
        <bgColor rgb="FF4A7E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4A7EBB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Evolução do Patrimônio Acumulado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'Evolução Mensal'!F1</c:f>
              <c:strCache>
                <c:ptCount val="1"/>
                <c:pt idx="0">
                  <c:v>Patrimônio no Final do Mês (R$)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'Evolução Mensal'!$A$2:$A$61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'Evolução Mensal'!$F$2:$F$61</c:f>
              <c:numCache>
                <c:formatCode>"R$ "#,##0.00;[RED]"-R$ "#,##0.00</c:formatCode>
                <c:ptCount val="60"/>
                <c:pt idx="0">
                  <c:v>10580</c:v>
                </c:pt>
                <c:pt idx="1">
                  <c:v>11164.64</c:v>
                </c:pt>
                <c:pt idx="2">
                  <c:v>11753.95712</c:v>
                </c:pt>
                <c:pt idx="3">
                  <c:v>12347.98877696</c:v>
                </c:pt>
                <c:pt idx="4">
                  <c:v>12946.7726871757</c:v>
                </c:pt>
                <c:pt idx="5">
                  <c:v>13550.3468686731</c:v>
                </c:pt>
                <c:pt idx="6">
                  <c:v>14158.7496436225</c:v>
                </c:pt>
                <c:pt idx="7">
                  <c:v>14772.0196407715</c:v>
                </c:pt>
                <c:pt idx="8">
                  <c:v>15390.1957978976</c:v>
                </c:pt>
                <c:pt idx="9">
                  <c:v>16013.3173642808</c:v>
                </c:pt>
                <c:pt idx="10">
                  <c:v>16641.4239031951</c:v>
                </c:pt>
                <c:pt idx="11">
                  <c:v>17274.5552944206</c:v>
                </c:pt>
                <c:pt idx="12">
                  <c:v>17912.751736776</c:v>
                </c:pt>
                <c:pt idx="13">
                  <c:v>18556.0537506702</c:v>
                </c:pt>
                <c:pt idx="14">
                  <c:v>19204.5021806755</c:v>
                </c:pt>
                <c:pt idx="15">
                  <c:v>19858.138198121</c:v>
                </c:pt>
                <c:pt idx="16">
                  <c:v>20517.0033037059</c:v>
                </c:pt>
                <c:pt idx="17">
                  <c:v>21181.1393301356</c:v>
                </c:pt>
                <c:pt idx="18">
                  <c:v>21850.5884447767</c:v>
                </c:pt>
                <c:pt idx="19">
                  <c:v>22525.3931523349</c:v>
                </c:pt>
                <c:pt idx="20">
                  <c:v>23205.5962975535</c:v>
                </c:pt>
                <c:pt idx="21">
                  <c:v>23891.241067934</c:v>
                </c:pt>
                <c:pt idx="22">
                  <c:v>24582.3709964774</c:v>
                </c:pt>
                <c:pt idx="23">
                  <c:v>25279.0299644493</c:v>
                </c:pt>
                <c:pt idx="24">
                  <c:v>25981.2622041649</c:v>
                </c:pt>
                <c:pt idx="25">
                  <c:v>26689.1123017982</c:v>
                </c:pt>
                <c:pt idx="26">
                  <c:v>27402.6252002126</c:v>
                </c:pt>
                <c:pt idx="27">
                  <c:v>28121.8462018143</c:v>
                </c:pt>
                <c:pt idx="28">
                  <c:v>28846.8209714288</c:v>
                </c:pt>
                <c:pt idx="29">
                  <c:v>29577.5955392002</c:v>
                </c:pt>
                <c:pt idx="30">
                  <c:v>30314.2163035138</c:v>
                </c:pt>
                <c:pt idx="31">
                  <c:v>31056.7300339419</c:v>
                </c:pt>
                <c:pt idx="32">
                  <c:v>31805.1838742135</c:v>
                </c:pt>
                <c:pt idx="33">
                  <c:v>32559.6253452072</c:v>
                </c:pt>
                <c:pt idx="34">
                  <c:v>33320.1023479688</c:v>
                </c:pt>
                <c:pt idx="35">
                  <c:v>34086.6631667526</c:v>
                </c:pt>
                <c:pt idx="36">
                  <c:v>34859.3564720866</c:v>
                </c:pt>
                <c:pt idx="37">
                  <c:v>35638.2313238633</c:v>
                </c:pt>
                <c:pt idx="38">
                  <c:v>36423.3371744542</c:v>
                </c:pt>
                <c:pt idx="39">
                  <c:v>37214.7238718498</c:v>
                </c:pt>
                <c:pt idx="40">
                  <c:v>38012.4416628246</c:v>
                </c:pt>
                <c:pt idx="41">
                  <c:v>38816.5411961272</c:v>
                </c:pt>
                <c:pt idx="42">
                  <c:v>39627.0735256962</c:v>
                </c:pt>
                <c:pt idx="43">
                  <c:v>40444.0901139018</c:v>
                </c:pt>
                <c:pt idx="44">
                  <c:v>41267.642834813</c:v>
                </c:pt>
                <c:pt idx="45">
                  <c:v>42097.7839774915</c:v>
                </c:pt>
                <c:pt idx="46">
                  <c:v>42934.5662493115</c:v>
                </c:pt>
                <c:pt idx="47">
                  <c:v>43778.042779306</c:v>
                </c:pt>
                <c:pt idx="48">
                  <c:v>44628.2671215404</c:v>
                </c:pt>
                <c:pt idx="49">
                  <c:v>45485.2932585127</c:v>
                </c:pt>
                <c:pt idx="50">
                  <c:v>46349.1756045808</c:v>
                </c:pt>
                <c:pt idx="51">
                  <c:v>47219.9690094175</c:v>
                </c:pt>
                <c:pt idx="52">
                  <c:v>48097.7287614928</c:v>
                </c:pt>
                <c:pt idx="53">
                  <c:v>48982.5105915848</c:v>
                </c:pt>
                <c:pt idx="54">
                  <c:v>49874.3706763174</c:v>
                </c:pt>
                <c:pt idx="55">
                  <c:v>50773.365641728</c:v>
                </c:pt>
                <c:pt idx="56">
                  <c:v>51679.5525668618</c:v>
                </c:pt>
                <c:pt idx="57">
                  <c:v>52592.9889873967</c:v>
                </c:pt>
                <c:pt idx="58">
                  <c:v>53513.7328992959</c:v>
                </c:pt>
                <c:pt idx="59">
                  <c:v>54441.8427624902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'Evolução Mensal'!I1</c:f>
              <c:strCache>
                <c:ptCount val="1"/>
                <c:pt idx="0">
                  <c:v>Total Investido Acumulado (R$)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'Evolução Mensal'!$A$2:$A$61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'Evolução Mensal'!$I$2:$I$61</c:f>
              <c:numCache>
                <c:formatCode>"R$ "#,##0.00;[RED]"-R$ "#,##0.00</c:formatCode>
                <c:ptCount val="60"/>
                <c:pt idx="0">
                  <c:v>10500</c:v>
                </c:pt>
                <c:pt idx="1">
                  <c:v>11000</c:v>
                </c:pt>
                <c:pt idx="2">
                  <c:v>11500</c:v>
                </c:pt>
                <c:pt idx="3">
                  <c:v>12000</c:v>
                </c:pt>
                <c:pt idx="4">
                  <c:v>12500</c:v>
                </c:pt>
                <c:pt idx="5">
                  <c:v>13000</c:v>
                </c:pt>
                <c:pt idx="6">
                  <c:v>13500</c:v>
                </c:pt>
                <c:pt idx="7">
                  <c:v>14000</c:v>
                </c:pt>
                <c:pt idx="8">
                  <c:v>14500</c:v>
                </c:pt>
                <c:pt idx="9">
                  <c:v>15000</c:v>
                </c:pt>
                <c:pt idx="10">
                  <c:v>15500</c:v>
                </c:pt>
                <c:pt idx="11">
                  <c:v>16000</c:v>
                </c:pt>
                <c:pt idx="12">
                  <c:v>16500</c:v>
                </c:pt>
                <c:pt idx="13">
                  <c:v>17000</c:v>
                </c:pt>
                <c:pt idx="14">
                  <c:v>17500</c:v>
                </c:pt>
                <c:pt idx="15">
                  <c:v>18000</c:v>
                </c:pt>
                <c:pt idx="16">
                  <c:v>18500</c:v>
                </c:pt>
                <c:pt idx="17">
                  <c:v>19000</c:v>
                </c:pt>
                <c:pt idx="18">
                  <c:v>19500</c:v>
                </c:pt>
                <c:pt idx="19">
                  <c:v>20000</c:v>
                </c:pt>
                <c:pt idx="20">
                  <c:v>20500</c:v>
                </c:pt>
                <c:pt idx="21">
                  <c:v>21000</c:v>
                </c:pt>
                <c:pt idx="22">
                  <c:v>21500</c:v>
                </c:pt>
                <c:pt idx="23">
                  <c:v>22000</c:v>
                </c:pt>
                <c:pt idx="24">
                  <c:v>22500</c:v>
                </c:pt>
                <c:pt idx="25">
                  <c:v>23000</c:v>
                </c:pt>
                <c:pt idx="26">
                  <c:v>23500</c:v>
                </c:pt>
                <c:pt idx="27">
                  <c:v>24000</c:v>
                </c:pt>
                <c:pt idx="28">
                  <c:v>24500</c:v>
                </c:pt>
                <c:pt idx="29">
                  <c:v>25000</c:v>
                </c:pt>
                <c:pt idx="30">
                  <c:v>25500</c:v>
                </c:pt>
                <c:pt idx="31">
                  <c:v>26000</c:v>
                </c:pt>
                <c:pt idx="32">
                  <c:v>26500</c:v>
                </c:pt>
                <c:pt idx="33">
                  <c:v>27000</c:v>
                </c:pt>
                <c:pt idx="34">
                  <c:v>27500</c:v>
                </c:pt>
                <c:pt idx="35">
                  <c:v>28000</c:v>
                </c:pt>
                <c:pt idx="36">
                  <c:v>28500</c:v>
                </c:pt>
                <c:pt idx="37">
                  <c:v>29000</c:v>
                </c:pt>
                <c:pt idx="38">
                  <c:v>29500</c:v>
                </c:pt>
                <c:pt idx="39">
                  <c:v>30000</c:v>
                </c:pt>
                <c:pt idx="40">
                  <c:v>30500</c:v>
                </c:pt>
                <c:pt idx="41">
                  <c:v>31000</c:v>
                </c:pt>
                <c:pt idx="42">
                  <c:v>31500</c:v>
                </c:pt>
                <c:pt idx="43">
                  <c:v>32000</c:v>
                </c:pt>
                <c:pt idx="44">
                  <c:v>32500</c:v>
                </c:pt>
                <c:pt idx="45">
                  <c:v>33000</c:v>
                </c:pt>
                <c:pt idx="46">
                  <c:v>33500</c:v>
                </c:pt>
                <c:pt idx="47">
                  <c:v>34000</c:v>
                </c:pt>
                <c:pt idx="48">
                  <c:v>34500</c:v>
                </c:pt>
                <c:pt idx="49">
                  <c:v>35000</c:v>
                </c:pt>
                <c:pt idx="50">
                  <c:v>35500</c:v>
                </c:pt>
                <c:pt idx="51">
                  <c:v>36000</c:v>
                </c:pt>
                <c:pt idx="52">
                  <c:v>36500</c:v>
                </c:pt>
                <c:pt idx="53">
                  <c:v>37000</c:v>
                </c:pt>
                <c:pt idx="54">
                  <c:v>37500</c:v>
                </c:pt>
                <c:pt idx="55">
                  <c:v>38000</c:v>
                </c:pt>
                <c:pt idx="56">
                  <c:v>38500</c:v>
                </c:pt>
                <c:pt idx="57">
                  <c:v>39000</c:v>
                </c:pt>
                <c:pt idx="58">
                  <c:v>39500</c:v>
                </c:pt>
                <c:pt idx="59">
                  <c:v>40000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851646"/>
        <c:axId val="51713167"/>
      </c:lineChart>
      <c:catAx>
        <c:axId val="198516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13167"/>
        <c:crosses val="autoZero"/>
        <c:auto val="1"/>
        <c:lblAlgn val="ctr"/>
        <c:lblOffset val="100"/>
        <c:noMultiLvlLbl val="0"/>
      </c:catAx>
      <c:valAx>
        <c:axId val="517131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Patrimônio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;[RED]&quot;-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516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0</xdr:rowOff>
    </xdr:from>
    <xdr:to>
      <xdr:col>24</xdr:col>
      <xdr:colOff>78840</xdr:colOff>
      <xdr:row>19</xdr:row>
      <xdr:rowOff>170640</xdr:rowOff>
    </xdr:to>
    <xdr:graphicFrame>
      <xdr:nvGraphicFramePr>
        <xdr:cNvPr id="0" name="Chart 1"/>
        <xdr:cNvGraphicFramePr/>
      </xdr:nvGraphicFramePr>
      <xdr:xfrm>
        <a:off x="12453120" y="38088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3"/>
    <col collapsed="false" customWidth="true" hidden="false" outlineLevel="0" max="5" min="5" style="0" width="55"/>
  </cols>
  <sheetData>
    <row r="2" customFormat="false" ht="19.7" hidden="false" customHeight="false" outlineLevel="0" collapsed="false">
      <c r="B2" s="1" t="s">
        <v>0</v>
      </c>
      <c r="E2" s="2" t="s">
        <v>1</v>
      </c>
    </row>
    <row r="3" customFormat="false" ht="15" hidden="false" customHeight="false" outlineLevel="0" collapsed="false">
      <c r="B3" s="3" t="s">
        <v>2</v>
      </c>
      <c r="E3" s="4" t="s">
        <v>3</v>
      </c>
    </row>
    <row r="4" customFormat="false" ht="15" hidden="false" customHeight="false" outlineLevel="0" collapsed="false">
      <c r="E4" s="5" t="s">
        <v>4</v>
      </c>
    </row>
    <row r="5" customFormat="false" ht="15" hidden="false" customHeight="false" outlineLevel="0" collapsed="false">
      <c r="B5" s="6" t="s">
        <v>5</v>
      </c>
      <c r="C5" s="6"/>
      <c r="E5" s="7" t="s">
        <v>6</v>
      </c>
    </row>
    <row r="6" customFormat="false" ht="15" hidden="false" customHeight="false" outlineLevel="0" collapsed="false">
      <c r="B6" s="8" t="s">
        <v>7</v>
      </c>
      <c r="C6" s="9" t="n">
        <v>10000</v>
      </c>
    </row>
    <row r="7" customFormat="false" ht="15" hidden="false" customHeight="false" outlineLevel="0" collapsed="false">
      <c r="B7" s="8" t="s">
        <v>8</v>
      </c>
      <c r="C7" s="9" t="n">
        <v>500</v>
      </c>
    </row>
    <row r="8" customFormat="false" ht="15" hidden="false" customHeight="false" outlineLevel="0" collapsed="false">
      <c r="B8" s="8" t="s">
        <v>9</v>
      </c>
      <c r="C8" s="10" t="n">
        <v>0.008</v>
      </c>
    </row>
    <row r="9" customFormat="false" ht="15" hidden="false" customHeight="false" outlineLevel="0" collapsed="false">
      <c r="B9" s="8" t="s">
        <v>10</v>
      </c>
      <c r="C9" s="11" t="n">
        <v>60</v>
      </c>
    </row>
    <row r="10" customFormat="false" ht="15" hidden="false" customHeight="false" outlineLevel="0" collapsed="false">
      <c r="B10" s="8" t="s">
        <v>11</v>
      </c>
      <c r="C10" s="12" t="s">
        <v>12</v>
      </c>
    </row>
    <row r="12" customFormat="false" ht="15" hidden="false" customHeight="false" outlineLevel="0" collapsed="false">
      <c r="B12" s="6" t="s">
        <v>13</v>
      </c>
      <c r="C12" s="6"/>
    </row>
    <row r="13" customFormat="false" ht="15" hidden="false" customHeight="false" outlineLevel="0" collapsed="false">
      <c r="B13" s="2" t="s">
        <v>14</v>
      </c>
      <c r="C13" s="13" t="n">
        <f aca="false">C6+C7*C9</f>
        <v>40000</v>
      </c>
    </row>
    <row r="14" customFormat="false" ht="15" hidden="false" customHeight="false" outlineLevel="0" collapsed="false">
      <c r="B14" s="2" t="s">
        <v>15</v>
      </c>
      <c r="C14" s="13" t="n">
        <f aca="false">INDEX('Evolução Mensal'!F:F,MATCH(C9,'Evolução Mensal'!A:A,0))</f>
        <v>54441.8427624902</v>
      </c>
    </row>
    <row r="15" customFormat="false" ht="15" hidden="false" customHeight="false" outlineLevel="0" collapsed="false">
      <c r="B15" s="2" t="s">
        <v>16</v>
      </c>
      <c r="C15" s="13" t="n">
        <f aca="false">INDEX('Evolução Mensal'!G:G,MATCH(C9,'Evolução Mensal'!A:A,0))</f>
        <v>14441.8427624902</v>
      </c>
    </row>
    <row r="16" customFormat="false" ht="15" hidden="false" customHeight="false" outlineLevel="0" collapsed="false">
      <c r="B16" s="2" t="s">
        <v>17</v>
      </c>
      <c r="C16" s="13" t="n">
        <f aca="false">INDEX('Evolução Mensal'!H:H,MATCH(C9,'Evolução Mensal'!A:A,0))</f>
        <v>0</v>
      </c>
    </row>
    <row r="17" customFormat="false" ht="15" hidden="false" customHeight="false" outlineLevel="0" collapsed="false">
      <c r="B17" s="2" t="s">
        <v>18</v>
      </c>
      <c r="C17" s="14" t="n">
        <f aca="false">(C14+C16-C13)/C13</f>
        <v>0.361046069062256</v>
      </c>
    </row>
    <row r="19" customFormat="false" ht="15" hidden="false" customHeight="false" outlineLevel="0" collapsed="false">
      <c r="B19" s="15" t="s">
        <v>19</v>
      </c>
    </row>
  </sheetData>
  <mergeCells count="2">
    <mergeCell ref="B5:C5"/>
    <mergeCell ref="B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9" min="2" style="0" width="20"/>
  </cols>
  <sheetData>
    <row r="1" customFormat="false" ht="30" hidden="false" customHeight="true" outlineLevel="0" collapsed="false">
      <c r="A1" s="16" t="s">
        <v>20</v>
      </c>
      <c r="B1" s="16" t="s">
        <v>21</v>
      </c>
      <c r="C1" s="16" t="s">
        <v>22</v>
      </c>
      <c r="D1" s="16" t="s">
        <v>23</v>
      </c>
      <c r="E1" s="16" t="s">
        <v>24</v>
      </c>
      <c r="F1" s="16" t="s">
        <v>25</v>
      </c>
      <c r="G1" s="16" t="s">
        <v>26</v>
      </c>
      <c r="H1" s="16" t="s">
        <v>27</v>
      </c>
      <c r="I1" s="16" t="s">
        <v>28</v>
      </c>
    </row>
    <row r="2" customFormat="false" ht="15" hidden="false" customHeight="false" outlineLevel="0" collapsed="false">
      <c r="A2" s="17" t="n">
        <v>1</v>
      </c>
      <c r="B2" s="18" t="n">
        <f aca="false">Simulador!C6</f>
        <v>10000</v>
      </c>
      <c r="C2" s="18" t="n">
        <f aca="false">Simulador!C7</f>
        <v>500</v>
      </c>
      <c r="D2" s="18" t="n">
        <f aca="false">B2*Simulador!C8</f>
        <v>80</v>
      </c>
      <c r="E2" s="18" t="n">
        <f aca="false">IF(Simulador!C10="Sim",D2,0)</f>
        <v>80</v>
      </c>
      <c r="F2" s="18" t="n">
        <f aca="false">B2+C2+E2</f>
        <v>10580</v>
      </c>
      <c r="G2" s="18" t="n">
        <f aca="false">D2</f>
        <v>80</v>
      </c>
      <c r="H2" s="18" t="n">
        <f aca="false">IF(Simulador!C10="Não",D2,0)</f>
        <v>0</v>
      </c>
      <c r="I2" s="18" t="n">
        <f aca="false">Simulador!C6+C2</f>
        <v>10500</v>
      </c>
    </row>
    <row r="3" customFormat="false" ht="15" hidden="false" customHeight="false" outlineLevel="0" collapsed="false">
      <c r="A3" s="17" t="n">
        <v>2</v>
      </c>
      <c r="B3" s="18" t="n">
        <f aca="false">F2</f>
        <v>10580</v>
      </c>
      <c r="C3" s="18" t="n">
        <f aca="false">Simulador!C7</f>
        <v>500</v>
      </c>
      <c r="D3" s="18" t="n">
        <f aca="false">B3*Simulador!C8</f>
        <v>84.64</v>
      </c>
      <c r="E3" s="18" t="n">
        <f aca="false">IF(Simulador!C10="Sim",D3,0)</f>
        <v>84.64</v>
      </c>
      <c r="F3" s="18" t="n">
        <f aca="false">B3+C3+E3</f>
        <v>11164.64</v>
      </c>
      <c r="G3" s="18" t="n">
        <f aca="false">G2+D3</f>
        <v>164.64</v>
      </c>
      <c r="H3" s="18" t="n">
        <f aca="false">H2+IF(Simulador!C10="Não",D3,0)</f>
        <v>0</v>
      </c>
      <c r="I3" s="18" t="n">
        <f aca="false">I2+C3</f>
        <v>11000</v>
      </c>
    </row>
    <row r="4" customFormat="false" ht="15" hidden="false" customHeight="false" outlineLevel="0" collapsed="false">
      <c r="A4" s="17" t="n">
        <v>3</v>
      </c>
      <c r="B4" s="18" t="n">
        <f aca="false">F3</f>
        <v>11164.64</v>
      </c>
      <c r="C4" s="18" t="n">
        <f aca="false">Simulador!C7</f>
        <v>500</v>
      </c>
      <c r="D4" s="18" t="n">
        <f aca="false">B4*Simulador!C8</f>
        <v>89.31712</v>
      </c>
      <c r="E4" s="18" t="n">
        <f aca="false">IF(Simulador!C10="Sim",D4,0)</f>
        <v>89.31712</v>
      </c>
      <c r="F4" s="18" t="n">
        <f aca="false">B4+C4+E4</f>
        <v>11753.95712</v>
      </c>
      <c r="G4" s="18" t="n">
        <f aca="false">G3+D4</f>
        <v>253.95712</v>
      </c>
      <c r="H4" s="18" t="n">
        <f aca="false">H3+IF(Simulador!C10="Não",D4,0)</f>
        <v>0</v>
      </c>
      <c r="I4" s="18" t="n">
        <f aca="false">I3+C4</f>
        <v>11500</v>
      </c>
    </row>
    <row r="5" customFormat="false" ht="15" hidden="false" customHeight="false" outlineLevel="0" collapsed="false">
      <c r="A5" s="17" t="n">
        <v>4</v>
      </c>
      <c r="B5" s="18" t="n">
        <f aca="false">F4</f>
        <v>11753.95712</v>
      </c>
      <c r="C5" s="18" t="n">
        <f aca="false">Simulador!C7</f>
        <v>500</v>
      </c>
      <c r="D5" s="18" t="n">
        <f aca="false">B5*Simulador!C8</f>
        <v>94.03165696</v>
      </c>
      <c r="E5" s="18" t="n">
        <f aca="false">IF(Simulador!C10="Sim",D5,0)</f>
        <v>94.03165696</v>
      </c>
      <c r="F5" s="18" t="n">
        <f aca="false">B5+C5+E5</f>
        <v>12347.98877696</v>
      </c>
      <c r="G5" s="18" t="n">
        <f aca="false">G4+D5</f>
        <v>347.98877696</v>
      </c>
      <c r="H5" s="18" t="n">
        <f aca="false">H4+IF(Simulador!C10="Não",D5,0)</f>
        <v>0</v>
      </c>
      <c r="I5" s="18" t="n">
        <f aca="false">I4+C5</f>
        <v>12000</v>
      </c>
    </row>
    <row r="6" customFormat="false" ht="15" hidden="false" customHeight="false" outlineLevel="0" collapsed="false">
      <c r="A6" s="17" t="n">
        <v>5</v>
      </c>
      <c r="B6" s="18" t="n">
        <f aca="false">F5</f>
        <v>12347.98877696</v>
      </c>
      <c r="C6" s="18" t="n">
        <f aca="false">Simulador!C7</f>
        <v>500</v>
      </c>
      <c r="D6" s="18" t="n">
        <f aca="false">B6*Simulador!C8</f>
        <v>98.78391021568</v>
      </c>
      <c r="E6" s="18" t="n">
        <f aca="false">IF(Simulador!C10="Sim",D6,0)</f>
        <v>98.78391021568</v>
      </c>
      <c r="F6" s="18" t="n">
        <f aca="false">B6+C6+E6</f>
        <v>12946.7726871757</v>
      </c>
      <c r="G6" s="18" t="n">
        <f aca="false">G5+D6</f>
        <v>446.77268717568</v>
      </c>
      <c r="H6" s="18" t="n">
        <f aca="false">H5+IF(Simulador!C10="Não",D6,0)</f>
        <v>0</v>
      </c>
      <c r="I6" s="18" t="n">
        <f aca="false">I5+C6</f>
        <v>12500</v>
      </c>
    </row>
    <row r="7" customFormat="false" ht="15" hidden="false" customHeight="false" outlineLevel="0" collapsed="false">
      <c r="A7" s="17" t="n">
        <v>6</v>
      </c>
      <c r="B7" s="18" t="n">
        <f aca="false">F6</f>
        <v>12946.7726871757</v>
      </c>
      <c r="C7" s="18" t="n">
        <f aca="false">Simulador!C7</f>
        <v>500</v>
      </c>
      <c r="D7" s="18" t="n">
        <f aca="false">B7*Simulador!C8</f>
        <v>103.574181497405</v>
      </c>
      <c r="E7" s="18" t="n">
        <f aca="false">IF(Simulador!C10="Sim",D7,0)</f>
        <v>103.574181497405</v>
      </c>
      <c r="F7" s="18" t="n">
        <f aca="false">B7+C7+E7</f>
        <v>13550.3468686731</v>
      </c>
      <c r="G7" s="18" t="n">
        <f aca="false">G6+D7</f>
        <v>550.346868673085</v>
      </c>
      <c r="H7" s="18" t="n">
        <f aca="false">H6+IF(Simulador!C10="Não",D7,0)</f>
        <v>0</v>
      </c>
      <c r="I7" s="18" t="n">
        <f aca="false">I6+C7</f>
        <v>13000</v>
      </c>
    </row>
    <row r="8" customFormat="false" ht="15" hidden="false" customHeight="false" outlineLevel="0" collapsed="false">
      <c r="A8" s="17" t="n">
        <v>7</v>
      </c>
      <c r="B8" s="18" t="n">
        <f aca="false">F7</f>
        <v>13550.3468686731</v>
      </c>
      <c r="C8" s="18" t="n">
        <f aca="false">Simulador!C7</f>
        <v>500</v>
      </c>
      <c r="D8" s="18" t="n">
        <f aca="false">B8*Simulador!C8</f>
        <v>108.402774949385</v>
      </c>
      <c r="E8" s="18" t="n">
        <f aca="false">IF(Simulador!C10="Sim",D8,0)</f>
        <v>108.402774949385</v>
      </c>
      <c r="F8" s="18" t="n">
        <f aca="false">B8+C8+E8</f>
        <v>14158.7496436225</v>
      </c>
      <c r="G8" s="18" t="n">
        <f aca="false">G7+D8</f>
        <v>658.74964362247</v>
      </c>
      <c r="H8" s="18" t="n">
        <f aca="false">H7+IF(Simulador!C10="Não",D8,0)</f>
        <v>0</v>
      </c>
      <c r="I8" s="18" t="n">
        <f aca="false">I7+C8</f>
        <v>13500</v>
      </c>
    </row>
    <row r="9" customFormat="false" ht="15" hidden="false" customHeight="false" outlineLevel="0" collapsed="false">
      <c r="A9" s="17" t="n">
        <v>8</v>
      </c>
      <c r="B9" s="18" t="n">
        <f aca="false">F8</f>
        <v>14158.7496436225</v>
      </c>
      <c r="C9" s="18" t="n">
        <f aca="false">Simulador!C7</f>
        <v>500</v>
      </c>
      <c r="D9" s="18" t="n">
        <f aca="false">B9*Simulador!C8</f>
        <v>113.26999714898</v>
      </c>
      <c r="E9" s="18" t="n">
        <f aca="false">IF(Simulador!C10="Sim",D9,0)</f>
        <v>113.26999714898</v>
      </c>
      <c r="F9" s="18" t="n">
        <f aca="false">B9+C9+E9</f>
        <v>14772.0196407715</v>
      </c>
      <c r="G9" s="18" t="n">
        <f aca="false">G8+D9</f>
        <v>772.01964077145</v>
      </c>
      <c r="H9" s="18" t="n">
        <f aca="false">H8+IF(Simulador!C10="Não",D9,0)</f>
        <v>0</v>
      </c>
      <c r="I9" s="18" t="n">
        <f aca="false">I8+C9</f>
        <v>14000</v>
      </c>
    </row>
    <row r="10" customFormat="false" ht="15" hidden="false" customHeight="false" outlineLevel="0" collapsed="false">
      <c r="A10" s="17" t="n">
        <v>9</v>
      </c>
      <c r="B10" s="18" t="n">
        <f aca="false">F9</f>
        <v>14772.0196407715</v>
      </c>
      <c r="C10" s="18" t="n">
        <f aca="false">Simulador!C7</f>
        <v>500</v>
      </c>
      <c r="D10" s="18" t="n">
        <f aca="false">B10*Simulador!C8</f>
        <v>118.176157126172</v>
      </c>
      <c r="E10" s="18" t="n">
        <f aca="false">IF(Simulador!C10="Sim",D10,0)</f>
        <v>118.176157126172</v>
      </c>
      <c r="F10" s="18" t="n">
        <f aca="false">B10+C10+E10</f>
        <v>15390.1957978976</v>
      </c>
      <c r="G10" s="18" t="n">
        <f aca="false">G9+D10</f>
        <v>890.195797897621</v>
      </c>
      <c r="H10" s="18" t="n">
        <f aca="false">H9+IF(Simulador!C10="Não",D10,0)</f>
        <v>0</v>
      </c>
      <c r="I10" s="18" t="n">
        <f aca="false">I9+C10</f>
        <v>14500</v>
      </c>
    </row>
    <row r="11" customFormat="false" ht="15" hidden="false" customHeight="false" outlineLevel="0" collapsed="false">
      <c r="A11" s="17" t="n">
        <v>10</v>
      </c>
      <c r="B11" s="18" t="n">
        <f aca="false">F10</f>
        <v>15390.1957978976</v>
      </c>
      <c r="C11" s="18" t="n">
        <f aca="false">Simulador!C7</f>
        <v>500</v>
      </c>
      <c r="D11" s="18" t="n">
        <f aca="false">B11*Simulador!C8</f>
        <v>123.121566383181</v>
      </c>
      <c r="E11" s="18" t="n">
        <f aca="false">IF(Simulador!C10="Sim",D11,0)</f>
        <v>123.121566383181</v>
      </c>
      <c r="F11" s="18" t="n">
        <f aca="false">B11+C11+E11</f>
        <v>16013.3173642808</v>
      </c>
      <c r="G11" s="18" t="n">
        <f aca="false">G10+D11</f>
        <v>1013.3173642808</v>
      </c>
      <c r="H11" s="18" t="n">
        <f aca="false">H10+IF(Simulador!C10="Não",D11,0)</f>
        <v>0</v>
      </c>
      <c r="I11" s="18" t="n">
        <f aca="false">I10+C11</f>
        <v>15000</v>
      </c>
    </row>
    <row r="12" customFormat="false" ht="15" hidden="false" customHeight="false" outlineLevel="0" collapsed="false">
      <c r="A12" s="17" t="n">
        <v>11</v>
      </c>
      <c r="B12" s="18" t="n">
        <f aca="false">F11</f>
        <v>16013.3173642808</v>
      </c>
      <c r="C12" s="18" t="n">
        <f aca="false">Simulador!C7</f>
        <v>500</v>
      </c>
      <c r="D12" s="18" t="n">
        <f aca="false">B12*Simulador!C8</f>
        <v>128.106538914246</v>
      </c>
      <c r="E12" s="18" t="n">
        <f aca="false">IF(Simulador!C10="Sim",D12,0)</f>
        <v>128.106538914246</v>
      </c>
      <c r="F12" s="18" t="n">
        <f aca="false">B12+C12+E12</f>
        <v>16641.4239031951</v>
      </c>
      <c r="G12" s="18" t="n">
        <f aca="false">G11+D12</f>
        <v>1141.42390319505</v>
      </c>
      <c r="H12" s="18" t="n">
        <f aca="false">H11+IF(Simulador!C10="Não",D12,0)</f>
        <v>0</v>
      </c>
      <c r="I12" s="18" t="n">
        <f aca="false">I11+C12</f>
        <v>15500</v>
      </c>
    </row>
    <row r="13" customFormat="false" ht="15" hidden="false" customHeight="false" outlineLevel="0" collapsed="false">
      <c r="A13" s="17" t="n">
        <v>12</v>
      </c>
      <c r="B13" s="18" t="n">
        <f aca="false">F12</f>
        <v>16641.4239031951</v>
      </c>
      <c r="C13" s="18" t="n">
        <f aca="false">Simulador!C7</f>
        <v>500</v>
      </c>
      <c r="D13" s="18" t="n">
        <f aca="false">B13*Simulador!C8</f>
        <v>133.13139122556</v>
      </c>
      <c r="E13" s="18" t="n">
        <f aca="false">IF(Simulador!C10="Sim",D13,0)</f>
        <v>133.13139122556</v>
      </c>
      <c r="F13" s="18" t="n">
        <f aca="false">B13+C13+E13</f>
        <v>17274.5552944206</v>
      </c>
      <c r="G13" s="18" t="n">
        <f aca="false">G12+D13</f>
        <v>1274.55529442061</v>
      </c>
      <c r="H13" s="18" t="n">
        <f aca="false">H12+IF(Simulador!C10="Não",D13,0)</f>
        <v>0</v>
      </c>
      <c r="I13" s="18" t="n">
        <f aca="false">I12+C13</f>
        <v>16000</v>
      </c>
    </row>
    <row r="14" customFormat="false" ht="15" hidden="false" customHeight="false" outlineLevel="0" collapsed="false">
      <c r="A14" s="17" t="n">
        <v>13</v>
      </c>
      <c r="B14" s="18" t="n">
        <f aca="false">F13</f>
        <v>17274.5552944206</v>
      </c>
      <c r="C14" s="18" t="n">
        <f aca="false">Simulador!C7</f>
        <v>500</v>
      </c>
      <c r="D14" s="18" t="n">
        <f aca="false">B14*Simulador!C8</f>
        <v>138.196442355365</v>
      </c>
      <c r="E14" s="18" t="n">
        <f aca="false">IF(Simulador!C10="Sim",D14,0)</f>
        <v>138.196442355365</v>
      </c>
      <c r="F14" s="18" t="n">
        <f aca="false">B14+C14+E14</f>
        <v>17912.751736776</v>
      </c>
      <c r="G14" s="18" t="n">
        <f aca="false">G13+D14</f>
        <v>1412.75173677597</v>
      </c>
      <c r="H14" s="18" t="n">
        <f aca="false">H13+IF(Simulador!C10="Não",D14,0)</f>
        <v>0</v>
      </c>
      <c r="I14" s="18" t="n">
        <f aca="false">I13+C14</f>
        <v>16500</v>
      </c>
    </row>
    <row r="15" customFormat="false" ht="15" hidden="false" customHeight="false" outlineLevel="0" collapsed="false">
      <c r="A15" s="17" t="n">
        <v>14</v>
      </c>
      <c r="B15" s="18" t="n">
        <f aca="false">F14</f>
        <v>17912.751736776</v>
      </c>
      <c r="C15" s="18" t="n">
        <f aca="false">Simulador!C7</f>
        <v>500</v>
      </c>
      <c r="D15" s="18" t="n">
        <f aca="false">B15*Simulador!C8</f>
        <v>143.302013894208</v>
      </c>
      <c r="E15" s="18" t="n">
        <f aca="false">IF(Simulador!C10="Sim",D15,0)</f>
        <v>143.302013894208</v>
      </c>
      <c r="F15" s="18" t="n">
        <f aca="false">B15+C15+E15</f>
        <v>18556.0537506702</v>
      </c>
      <c r="G15" s="18" t="n">
        <f aca="false">G14+D15</f>
        <v>1556.05375067018</v>
      </c>
      <c r="H15" s="18" t="n">
        <f aca="false">H14+IF(Simulador!C10="Não",D15,0)</f>
        <v>0</v>
      </c>
      <c r="I15" s="18" t="n">
        <f aca="false">I14+C15</f>
        <v>17000</v>
      </c>
    </row>
    <row r="16" customFormat="false" ht="15" hidden="false" customHeight="false" outlineLevel="0" collapsed="false">
      <c r="A16" s="17" t="n">
        <v>15</v>
      </c>
      <c r="B16" s="18" t="n">
        <f aca="false">F15</f>
        <v>18556.0537506702</v>
      </c>
      <c r="C16" s="18" t="n">
        <f aca="false">Simulador!C7</f>
        <v>500</v>
      </c>
      <c r="D16" s="18" t="n">
        <f aca="false">B16*Simulador!C8</f>
        <v>148.448430005361</v>
      </c>
      <c r="E16" s="18" t="n">
        <f aca="false">IF(Simulador!C10="Sim",D16,0)</f>
        <v>148.448430005361</v>
      </c>
      <c r="F16" s="18" t="n">
        <f aca="false">B16+C16+E16</f>
        <v>19204.5021806755</v>
      </c>
      <c r="G16" s="18" t="n">
        <f aca="false">G15+D16</f>
        <v>1704.50218067554</v>
      </c>
      <c r="H16" s="18" t="n">
        <f aca="false">H15+IF(Simulador!C10="Não",D16,0)</f>
        <v>0</v>
      </c>
      <c r="I16" s="18" t="n">
        <f aca="false">I15+C16</f>
        <v>17500</v>
      </c>
    </row>
    <row r="17" customFormat="false" ht="15" hidden="false" customHeight="false" outlineLevel="0" collapsed="false">
      <c r="A17" s="17" t="n">
        <v>16</v>
      </c>
      <c r="B17" s="18" t="n">
        <f aca="false">F16</f>
        <v>19204.5021806755</v>
      </c>
      <c r="C17" s="18" t="n">
        <f aca="false">Simulador!C7</f>
        <v>500</v>
      </c>
      <c r="D17" s="18" t="n">
        <f aca="false">B17*Simulador!C8</f>
        <v>153.636017445404</v>
      </c>
      <c r="E17" s="18" t="n">
        <f aca="false">IF(Simulador!C10="Sim",D17,0)</f>
        <v>153.636017445404</v>
      </c>
      <c r="F17" s="18" t="n">
        <f aca="false">B17+C17+E17</f>
        <v>19858.138198121</v>
      </c>
      <c r="G17" s="18" t="n">
        <f aca="false">G16+D17</f>
        <v>1858.13819812095</v>
      </c>
      <c r="H17" s="18" t="n">
        <f aca="false">H16+IF(Simulador!C10="Não",D17,0)</f>
        <v>0</v>
      </c>
      <c r="I17" s="18" t="n">
        <f aca="false">I16+C17</f>
        <v>18000</v>
      </c>
    </row>
    <row r="18" customFormat="false" ht="15" hidden="false" customHeight="false" outlineLevel="0" collapsed="false">
      <c r="A18" s="17" t="n">
        <v>17</v>
      </c>
      <c r="B18" s="18" t="n">
        <f aca="false">F17</f>
        <v>19858.138198121</v>
      </c>
      <c r="C18" s="18" t="n">
        <f aca="false">Simulador!C7</f>
        <v>500</v>
      </c>
      <c r="D18" s="18" t="n">
        <f aca="false">B18*Simulador!C8</f>
        <v>158.865105584968</v>
      </c>
      <c r="E18" s="18" t="n">
        <f aca="false">IF(Simulador!C10="Sim",D18,0)</f>
        <v>158.865105584968</v>
      </c>
      <c r="F18" s="18" t="n">
        <f aca="false">B18+C18+E18</f>
        <v>20517.0033037059</v>
      </c>
      <c r="G18" s="18" t="n">
        <f aca="false">G17+D18</f>
        <v>2017.00330370592</v>
      </c>
      <c r="H18" s="18" t="n">
        <f aca="false">H17+IF(Simulador!C10="Não",D18,0)</f>
        <v>0</v>
      </c>
      <c r="I18" s="18" t="n">
        <f aca="false">I17+C18</f>
        <v>18500</v>
      </c>
    </row>
    <row r="19" customFormat="false" ht="15" hidden="false" customHeight="false" outlineLevel="0" collapsed="false">
      <c r="A19" s="17" t="n">
        <v>18</v>
      </c>
      <c r="B19" s="18" t="n">
        <f aca="false">F18</f>
        <v>20517.0033037059</v>
      </c>
      <c r="C19" s="18" t="n">
        <f aca="false">Simulador!C7</f>
        <v>500</v>
      </c>
      <c r="D19" s="18" t="n">
        <f aca="false">B19*Simulador!C8</f>
        <v>164.136026429647</v>
      </c>
      <c r="E19" s="18" t="n">
        <f aca="false">IF(Simulador!C10="Sim",D19,0)</f>
        <v>164.136026429647</v>
      </c>
      <c r="F19" s="18" t="n">
        <f aca="false">B19+C19+E19</f>
        <v>21181.1393301356</v>
      </c>
      <c r="G19" s="18" t="n">
        <f aca="false">G18+D19</f>
        <v>2181.13933013556</v>
      </c>
      <c r="H19" s="18" t="n">
        <f aca="false">H18+IF(Simulador!C10="Não",D19,0)</f>
        <v>0</v>
      </c>
      <c r="I19" s="18" t="n">
        <f aca="false">I18+C19</f>
        <v>19000</v>
      </c>
    </row>
    <row r="20" customFormat="false" ht="15" hidden="false" customHeight="false" outlineLevel="0" collapsed="false">
      <c r="A20" s="17" t="n">
        <v>19</v>
      </c>
      <c r="B20" s="18" t="n">
        <f aca="false">F19</f>
        <v>21181.1393301356</v>
      </c>
      <c r="C20" s="18" t="n">
        <f aca="false">Simulador!C7</f>
        <v>500</v>
      </c>
      <c r="D20" s="18" t="n">
        <f aca="false">B20*Simulador!C8</f>
        <v>169.449114641085</v>
      </c>
      <c r="E20" s="18" t="n">
        <f aca="false">IF(Simulador!C10="Sim",D20,0)</f>
        <v>169.449114641085</v>
      </c>
      <c r="F20" s="18" t="n">
        <f aca="false">B20+C20+E20</f>
        <v>21850.5884447767</v>
      </c>
      <c r="G20" s="18" t="n">
        <f aca="false">G19+D20</f>
        <v>2350.58844477665</v>
      </c>
      <c r="H20" s="18" t="n">
        <f aca="false">H19+IF(Simulador!C10="Não",D20,0)</f>
        <v>0</v>
      </c>
      <c r="I20" s="18" t="n">
        <f aca="false">I19+C20</f>
        <v>19500</v>
      </c>
    </row>
    <row r="21" customFormat="false" ht="15" hidden="false" customHeight="false" outlineLevel="0" collapsed="false">
      <c r="A21" s="17" t="n">
        <v>20</v>
      </c>
      <c r="B21" s="18" t="n">
        <f aca="false">F20</f>
        <v>21850.5884447767</v>
      </c>
      <c r="C21" s="18" t="n">
        <f aca="false">Simulador!C7</f>
        <v>500</v>
      </c>
      <c r="D21" s="18" t="n">
        <f aca="false">B21*Simulador!C8</f>
        <v>174.804707558213</v>
      </c>
      <c r="E21" s="18" t="n">
        <f aca="false">IF(Simulador!C10="Sim",D21,0)</f>
        <v>174.804707558213</v>
      </c>
      <c r="F21" s="18" t="n">
        <f aca="false">B21+C21+E21</f>
        <v>22525.3931523349</v>
      </c>
      <c r="G21" s="18" t="n">
        <f aca="false">G20+D21</f>
        <v>2525.39315233486</v>
      </c>
      <c r="H21" s="18" t="n">
        <f aca="false">H20+IF(Simulador!C10="Não",D21,0)</f>
        <v>0</v>
      </c>
      <c r="I21" s="18" t="n">
        <f aca="false">I20+C21</f>
        <v>20000</v>
      </c>
    </row>
    <row r="22" customFormat="false" ht="15" hidden="false" customHeight="false" outlineLevel="0" collapsed="false">
      <c r="A22" s="17" t="n">
        <v>21</v>
      </c>
      <c r="B22" s="18" t="n">
        <f aca="false">F21</f>
        <v>22525.3931523349</v>
      </c>
      <c r="C22" s="18" t="n">
        <f aca="false">Simulador!C7</f>
        <v>500</v>
      </c>
      <c r="D22" s="18" t="n">
        <f aca="false">B22*Simulador!C8</f>
        <v>180.203145218679</v>
      </c>
      <c r="E22" s="18" t="n">
        <f aca="false">IF(Simulador!C10="Sim",D22,0)</f>
        <v>180.203145218679</v>
      </c>
      <c r="F22" s="18" t="n">
        <f aca="false">B22+C22+E22</f>
        <v>23205.5962975535</v>
      </c>
      <c r="G22" s="18" t="n">
        <f aca="false">G21+D22</f>
        <v>2705.59629755354</v>
      </c>
      <c r="H22" s="18" t="n">
        <f aca="false">H21+IF(Simulador!C10="Não",D22,0)</f>
        <v>0</v>
      </c>
      <c r="I22" s="18" t="n">
        <f aca="false">I21+C22</f>
        <v>20500</v>
      </c>
    </row>
    <row r="23" customFormat="false" ht="15" hidden="false" customHeight="false" outlineLevel="0" collapsed="false">
      <c r="A23" s="17" t="n">
        <v>22</v>
      </c>
      <c r="B23" s="18" t="n">
        <f aca="false">F22</f>
        <v>23205.5962975535</v>
      </c>
      <c r="C23" s="18" t="n">
        <f aca="false">Simulador!C7</f>
        <v>500</v>
      </c>
      <c r="D23" s="18" t="n">
        <f aca="false">B23*Simulador!C8</f>
        <v>185.644770380428</v>
      </c>
      <c r="E23" s="18" t="n">
        <f aca="false">IF(Simulador!C10="Sim",D23,0)</f>
        <v>185.644770380428</v>
      </c>
      <c r="F23" s="18" t="n">
        <f aca="false">B23+C23+E23</f>
        <v>23891.241067934</v>
      </c>
      <c r="G23" s="18" t="n">
        <f aca="false">G22+D23</f>
        <v>2891.24106793397</v>
      </c>
      <c r="H23" s="18" t="n">
        <f aca="false">H22+IF(Simulador!C10="Não",D23,0)</f>
        <v>0</v>
      </c>
      <c r="I23" s="18" t="n">
        <f aca="false">I22+C23</f>
        <v>21000</v>
      </c>
    </row>
    <row r="24" customFormat="false" ht="15" hidden="false" customHeight="false" outlineLevel="0" collapsed="false">
      <c r="A24" s="17" t="n">
        <v>23</v>
      </c>
      <c r="B24" s="18" t="n">
        <f aca="false">F23</f>
        <v>23891.241067934</v>
      </c>
      <c r="C24" s="18" t="n">
        <f aca="false">Simulador!C7</f>
        <v>500</v>
      </c>
      <c r="D24" s="18" t="n">
        <f aca="false">B24*Simulador!C8</f>
        <v>191.129928543472</v>
      </c>
      <c r="E24" s="18" t="n">
        <f aca="false">IF(Simulador!C10="Sim",D24,0)</f>
        <v>191.129928543472</v>
      </c>
      <c r="F24" s="18" t="n">
        <f aca="false">B24+C24+E24</f>
        <v>24582.3709964774</v>
      </c>
      <c r="G24" s="18" t="n">
        <f aca="false">G23+D24</f>
        <v>3082.37099647744</v>
      </c>
      <c r="H24" s="18" t="n">
        <f aca="false">H23+IF(Simulador!C10="Não",D24,0)</f>
        <v>0</v>
      </c>
      <c r="I24" s="18" t="n">
        <f aca="false">I23+C24</f>
        <v>21500</v>
      </c>
    </row>
    <row r="25" customFormat="false" ht="15" hidden="false" customHeight="false" outlineLevel="0" collapsed="false">
      <c r="A25" s="17" t="n">
        <v>24</v>
      </c>
      <c r="B25" s="18" t="n">
        <f aca="false">F24</f>
        <v>24582.3709964774</v>
      </c>
      <c r="C25" s="18" t="n">
        <f aca="false">Simulador!C7</f>
        <v>500</v>
      </c>
      <c r="D25" s="18" t="n">
        <f aca="false">B25*Simulador!C8</f>
        <v>196.65896797182</v>
      </c>
      <c r="E25" s="18" t="n">
        <f aca="false">IF(Simulador!C10="Sim",D25,0)</f>
        <v>196.65896797182</v>
      </c>
      <c r="F25" s="18" t="n">
        <f aca="false">B25+C25+E25</f>
        <v>25279.0299644493</v>
      </c>
      <c r="G25" s="18" t="n">
        <f aca="false">G24+D25</f>
        <v>3279.02996444926</v>
      </c>
      <c r="H25" s="18" t="n">
        <f aca="false">H24+IF(Simulador!C10="Não",D25,0)</f>
        <v>0</v>
      </c>
      <c r="I25" s="18" t="n">
        <f aca="false">I24+C25</f>
        <v>22000</v>
      </c>
    </row>
    <row r="26" customFormat="false" ht="15" hidden="false" customHeight="false" outlineLevel="0" collapsed="false">
      <c r="A26" s="17" t="n">
        <v>25</v>
      </c>
      <c r="B26" s="18" t="n">
        <f aca="false">F25</f>
        <v>25279.0299644493</v>
      </c>
      <c r="C26" s="18" t="n">
        <f aca="false">Simulador!C7</f>
        <v>500</v>
      </c>
      <c r="D26" s="18" t="n">
        <f aca="false">B26*Simulador!C8</f>
        <v>202.232239715594</v>
      </c>
      <c r="E26" s="18" t="n">
        <f aca="false">IF(Simulador!C10="Sim",D26,0)</f>
        <v>202.232239715594</v>
      </c>
      <c r="F26" s="18" t="n">
        <f aca="false">B26+C26+E26</f>
        <v>25981.2622041649</v>
      </c>
      <c r="G26" s="18" t="n">
        <f aca="false">G25+D26</f>
        <v>3481.26220416485</v>
      </c>
      <c r="H26" s="18" t="n">
        <f aca="false">H25+IF(Simulador!C10="Não",D26,0)</f>
        <v>0</v>
      </c>
      <c r="I26" s="18" t="n">
        <f aca="false">I25+C26</f>
        <v>22500</v>
      </c>
    </row>
    <row r="27" customFormat="false" ht="15" hidden="false" customHeight="false" outlineLevel="0" collapsed="false">
      <c r="A27" s="17" t="n">
        <v>26</v>
      </c>
      <c r="B27" s="18" t="n">
        <f aca="false">F26</f>
        <v>25981.2622041649</v>
      </c>
      <c r="C27" s="18" t="n">
        <f aca="false">Simulador!C7</f>
        <v>500</v>
      </c>
      <c r="D27" s="18" t="n">
        <f aca="false">B27*Simulador!C8</f>
        <v>207.850097633319</v>
      </c>
      <c r="E27" s="18" t="n">
        <f aca="false">IF(Simulador!C10="Sim",D27,0)</f>
        <v>207.850097633319</v>
      </c>
      <c r="F27" s="18" t="n">
        <f aca="false">B27+C27+E27</f>
        <v>26689.1123017982</v>
      </c>
      <c r="G27" s="18" t="n">
        <f aca="false">G26+D27</f>
        <v>3689.11230179817</v>
      </c>
      <c r="H27" s="18" t="n">
        <f aca="false">H26+IF(Simulador!C10="Não",D27,0)</f>
        <v>0</v>
      </c>
      <c r="I27" s="18" t="n">
        <f aca="false">I26+C27</f>
        <v>23000</v>
      </c>
    </row>
    <row r="28" customFormat="false" ht="15" hidden="false" customHeight="false" outlineLevel="0" collapsed="false">
      <c r="A28" s="17" t="n">
        <v>27</v>
      </c>
      <c r="B28" s="18" t="n">
        <f aca="false">F27</f>
        <v>26689.1123017982</v>
      </c>
      <c r="C28" s="18" t="n">
        <f aca="false">Simulador!C7</f>
        <v>500</v>
      </c>
      <c r="D28" s="18" t="n">
        <f aca="false">B28*Simulador!C8</f>
        <v>213.512898414385</v>
      </c>
      <c r="E28" s="18" t="n">
        <f aca="false">IF(Simulador!C10="Sim",D28,0)</f>
        <v>213.512898414385</v>
      </c>
      <c r="F28" s="18" t="n">
        <f aca="false">B28+C28+E28</f>
        <v>27402.6252002126</v>
      </c>
      <c r="G28" s="18" t="n">
        <f aca="false">G27+D28</f>
        <v>3902.62520021256</v>
      </c>
      <c r="H28" s="18" t="n">
        <f aca="false">H27+IF(Simulador!C10="Não",D28,0)</f>
        <v>0</v>
      </c>
      <c r="I28" s="18" t="n">
        <f aca="false">I27+C28</f>
        <v>23500</v>
      </c>
    </row>
    <row r="29" customFormat="false" ht="15" hidden="false" customHeight="false" outlineLevel="0" collapsed="false">
      <c r="A29" s="17" t="n">
        <v>28</v>
      </c>
      <c r="B29" s="18" t="n">
        <f aca="false">F28</f>
        <v>27402.6252002126</v>
      </c>
      <c r="C29" s="18" t="n">
        <f aca="false">Simulador!C7</f>
        <v>500</v>
      </c>
      <c r="D29" s="18" t="n">
        <f aca="false">B29*Simulador!C8</f>
        <v>219.221001601701</v>
      </c>
      <c r="E29" s="18" t="n">
        <f aca="false">IF(Simulador!C10="Sim",D29,0)</f>
        <v>219.221001601701</v>
      </c>
      <c r="F29" s="18" t="n">
        <f aca="false">B29+C29+E29</f>
        <v>28121.8462018143</v>
      </c>
      <c r="G29" s="18" t="n">
        <f aca="false">G28+D29</f>
        <v>4121.84620181426</v>
      </c>
      <c r="H29" s="18" t="n">
        <f aca="false">H28+IF(Simulador!C10="Não",D29,0)</f>
        <v>0</v>
      </c>
      <c r="I29" s="18" t="n">
        <f aca="false">I28+C29</f>
        <v>24000</v>
      </c>
    </row>
    <row r="30" customFormat="false" ht="15" hidden="false" customHeight="false" outlineLevel="0" collapsed="false">
      <c r="A30" s="17" t="n">
        <v>29</v>
      </c>
      <c r="B30" s="18" t="n">
        <f aca="false">F29</f>
        <v>28121.8462018143</v>
      </c>
      <c r="C30" s="18" t="n">
        <f aca="false">Simulador!C7</f>
        <v>500</v>
      </c>
      <c r="D30" s="18" t="n">
        <f aca="false">B30*Simulador!C8</f>
        <v>224.974769614514</v>
      </c>
      <c r="E30" s="18" t="n">
        <f aca="false">IF(Simulador!C10="Sim",D30,0)</f>
        <v>224.974769614514</v>
      </c>
      <c r="F30" s="18" t="n">
        <f aca="false">B30+C30+E30</f>
        <v>28846.8209714288</v>
      </c>
      <c r="G30" s="18" t="n">
        <f aca="false">G29+D30</f>
        <v>4346.82097142877</v>
      </c>
      <c r="H30" s="18" t="n">
        <f aca="false">H29+IF(Simulador!C10="Não",D30,0)</f>
        <v>0</v>
      </c>
      <c r="I30" s="18" t="n">
        <f aca="false">I29+C30</f>
        <v>24500</v>
      </c>
    </row>
    <row r="31" customFormat="false" ht="15" hidden="false" customHeight="false" outlineLevel="0" collapsed="false">
      <c r="A31" s="17" t="n">
        <v>30</v>
      </c>
      <c r="B31" s="18" t="n">
        <f aca="false">F30</f>
        <v>28846.8209714288</v>
      </c>
      <c r="C31" s="18" t="n">
        <f aca="false">Simulador!C7</f>
        <v>500</v>
      </c>
      <c r="D31" s="18" t="n">
        <f aca="false">B31*Simulador!C8</f>
        <v>230.77456777143</v>
      </c>
      <c r="E31" s="18" t="n">
        <f aca="false">IF(Simulador!C10="Sim",D31,0)</f>
        <v>230.77456777143</v>
      </c>
      <c r="F31" s="18" t="n">
        <f aca="false">B31+C31+E31</f>
        <v>29577.5955392002</v>
      </c>
      <c r="G31" s="18" t="n">
        <f aca="false">G30+D31</f>
        <v>4577.5955392002</v>
      </c>
      <c r="H31" s="18" t="n">
        <f aca="false">H30+IF(Simulador!C10="Não",D31,0)</f>
        <v>0</v>
      </c>
      <c r="I31" s="18" t="n">
        <f aca="false">I30+C31</f>
        <v>25000</v>
      </c>
    </row>
    <row r="32" customFormat="false" ht="15" hidden="false" customHeight="false" outlineLevel="0" collapsed="false">
      <c r="A32" s="17" t="n">
        <v>31</v>
      </c>
      <c r="B32" s="18" t="n">
        <f aca="false">F31</f>
        <v>29577.5955392002</v>
      </c>
      <c r="C32" s="18" t="n">
        <f aca="false">Simulador!C7</f>
        <v>500</v>
      </c>
      <c r="D32" s="18" t="n">
        <f aca="false">B32*Simulador!C8</f>
        <v>236.620764313602</v>
      </c>
      <c r="E32" s="18" t="n">
        <f aca="false">IF(Simulador!C10="Sim",D32,0)</f>
        <v>236.620764313602</v>
      </c>
      <c r="F32" s="18" t="n">
        <f aca="false">B32+C32+E32</f>
        <v>30314.2163035138</v>
      </c>
      <c r="G32" s="18" t="n">
        <f aca="false">G31+D32</f>
        <v>4814.2163035138</v>
      </c>
      <c r="H32" s="18" t="n">
        <f aca="false">H31+IF(Simulador!C10="Não",D32,0)</f>
        <v>0</v>
      </c>
      <c r="I32" s="18" t="n">
        <f aca="false">I31+C32</f>
        <v>25500</v>
      </c>
    </row>
    <row r="33" customFormat="false" ht="15" hidden="false" customHeight="false" outlineLevel="0" collapsed="false">
      <c r="A33" s="17" t="n">
        <v>32</v>
      </c>
      <c r="B33" s="18" t="n">
        <f aca="false">F32</f>
        <v>30314.2163035138</v>
      </c>
      <c r="C33" s="18" t="n">
        <f aca="false">Simulador!C7</f>
        <v>500</v>
      </c>
      <c r="D33" s="18" t="n">
        <f aca="false">B33*Simulador!C8</f>
        <v>242.513730428111</v>
      </c>
      <c r="E33" s="18" t="n">
        <f aca="false">IF(Simulador!C10="Sim",D33,0)</f>
        <v>242.513730428111</v>
      </c>
      <c r="F33" s="18" t="n">
        <f aca="false">B33+C33+E33</f>
        <v>31056.7300339419</v>
      </c>
      <c r="G33" s="18" t="n">
        <f aca="false">G32+D33</f>
        <v>5056.73003394191</v>
      </c>
      <c r="H33" s="18" t="n">
        <f aca="false">H32+IF(Simulador!C10="Não",D33,0)</f>
        <v>0</v>
      </c>
      <c r="I33" s="18" t="n">
        <f aca="false">I32+C33</f>
        <v>26000</v>
      </c>
    </row>
    <row r="34" customFormat="false" ht="15" hidden="false" customHeight="false" outlineLevel="0" collapsed="false">
      <c r="A34" s="17" t="n">
        <v>33</v>
      </c>
      <c r="B34" s="18" t="n">
        <f aca="false">F33</f>
        <v>31056.7300339419</v>
      </c>
      <c r="C34" s="18" t="n">
        <f aca="false">Simulador!C7</f>
        <v>500</v>
      </c>
      <c r="D34" s="18" t="n">
        <f aca="false">B34*Simulador!C8</f>
        <v>248.453840271535</v>
      </c>
      <c r="E34" s="18" t="n">
        <f aca="false">IF(Simulador!C10="Sim",D34,0)</f>
        <v>248.453840271535</v>
      </c>
      <c r="F34" s="18" t="n">
        <f aca="false">B34+C34+E34</f>
        <v>31805.1838742135</v>
      </c>
      <c r="G34" s="18" t="n">
        <f aca="false">G33+D34</f>
        <v>5305.18387421345</v>
      </c>
      <c r="H34" s="18" t="n">
        <f aca="false">H33+IF(Simulador!C10="Não",D34,0)</f>
        <v>0</v>
      </c>
      <c r="I34" s="18" t="n">
        <f aca="false">I33+C34</f>
        <v>26500</v>
      </c>
    </row>
    <row r="35" customFormat="false" ht="15" hidden="false" customHeight="false" outlineLevel="0" collapsed="false">
      <c r="A35" s="17" t="n">
        <v>34</v>
      </c>
      <c r="B35" s="18" t="n">
        <f aca="false">F34</f>
        <v>31805.1838742135</v>
      </c>
      <c r="C35" s="18" t="n">
        <f aca="false">Simulador!C7</f>
        <v>500</v>
      </c>
      <c r="D35" s="18" t="n">
        <f aca="false">B35*Simulador!C8</f>
        <v>254.441470993708</v>
      </c>
      <c r="E35" s="18" t="n">
        <f aca="false">IF(Simulador!C10="Sim",D35,0)</f>
        <v>254.441470993708</v>
      </c>
      <c r="F35" s="18" t="n">
        <f aca="false">B35+C35+E35</f>
        <v>32559.6253452072</v>
      </c>
      <c r="G35" s="18" t="n">
        <f aca="false">G34+D35</f>
        <v>5559.62534520716</v>
      </c>
      <c r="H35" s="18" t="n">
        <f aca="false">H34+IF(Simulador!C10="Não",D35,0)</f>
        <v>0</v>
      </c>
      <c r="I35" s="18" t="n">
        <f aca="false">I34+C35</f>
        <v>27000</v>
      </c>
    </row>
    <row r="36" customFormat="false" ht="15" hidden="false" customHeight="false" outlineLevel="0" collapsed="false">
      <c r="A36" s="17" t="n">
        <v>35</v>
      </c>
      <c r="B36" s="18" t="n">
        <f aca="false">F35</f>
        <v>32559.6253452072</v>
      </c>
      <c r="C36" s="18" t="n">
        <f aca="false">Simulador!C7</f>
        <v>500</v>
      </c>
      <c r="D36" s="18" t="n">
        <f aca="false">B36*Simulador!C8</f>
        <v>260.477002761657</v>
      </c>
      <c r="E36" s="18" t="n">
        <f aca="false">IF(Simulador!C10="Sim",D36,0)</f>
        <v>260.477002761657</v>
      </c>
      <c r="F36" s="18" t="n">
        <f aca="false">B36+C36+E36</f>
        <v>33320.1023479688</v>
      </c>
      <c r="G36" s="18" t="n">
        <f aca="false">G35+D36</f>
        <v>5820.10234796881</v>
      </c>
      <c r="H36" s="18" t="n">
        <f aca="false">H35+IF(Simulador!C10="Não",D36,0)</f>
        <v>0</v>
      </c>
      <c r="I36" s="18" t="n">
        <f aca="false">I35+C36</f>
        <v>27500</v>
      </c>
    </row>
    <row r="37" customFormat="false" ht="15" hidden="false" customHeight="false" outlineLevel="0" collapsed="false">
      <c r="A37" s="17" t="n">
        <v>36</v>
      </c>
      <c r="B37" s="18" t="n">
        <f aca="false">F36</f>
        <v>33320.1023479688</v>
      </c>
      <c r="C37" s="18" t="n">
        <f aca="false">Simulador!C7</f>
        <v>500</v>
      </c>
      <c r="D37" s="18" t="n">
        <f aca="false">B37*Simulador!C8</f>
        <v>266.560818783751</v>
      </c>
      <c r="E37" s="18" t="n">
        <f aca="false">IF(Simulador!C10="Sim",D37,0)</f>
        <v>266.560818783751</v>
      </c>
      <c r="F37" s="18" t="n">
        <f aca="false">B37+C37+E37</f>
        <v>34086.6631667526</v>
      </c>
      <c r="G37" s="18" t="n">
        <f aca="false">G36+D37</f>
        <v>6086.66316675256</v>
      </c>
      <c r="H37" s="18" t="n">
        <f aca="false">H36+IF(Simulador!C10="Não",D37,0)</f>
        <v>0</v>
      </c>
      <c r="I37" s="18" t="n">
        <f aca="false">I36+C37</f>
        <v>28000</v>
      </c>
    </row>
    <row r="38" customFormat="false" ht="15" hidden="false" customHeight="false" outlineLevel="0" collapsed="false">
      <c r="A38" s="17" t="n">
        <v>37</v>
      </c>
      <c r="B38" s="18" t="n">
        <f aca="false">F37</f>
        <v>34086.6631667526</v>
      </c>
      <c r="C38" s="18" t="n">
        <f aca="false">Simulador!C7</f>
        <v>500</v>
      </c>
      <c r="D38" s="18" t="n">
        <f aca="false">B38*Simulador!C8</f>
        <v>272.693305334021</v>
      </c>
      <c r="E38" s="18" t="n">
        <f aca="false">IF(Simulador!C10="Sim",D38,0)</f>
        <v>272.693305334021</v>
      </c>
      <c r="F38" s="18" t="n">
        <f aca="false">B38+C38+E38</f>
        <v>34859.3564720866</v>
      </c>
      <c r="G38" s="18" t="n">
        <f aca="false">G37+D38</f>
        <v>6359.35647208659</v>
      </c>
      <c r="H38" s="18" t="n">
        <f aca="false">H37+IF(Simulador!C10="Não",D38,0)</f>
        <v>0</v>
      </c>
      <c r="I38" s="18" t="n">
        <f aca="false">I37+C38</f>
        <v>28500</v>
      </c>
    </row>
    <row r="39" customFormat="false" ht="15" hidden="false" customHeight="false" outlineLevel="0" collapsed="false">
      <c r="A39" s="17" t="n">
        <v>38</v>
      </c>
      <c r="B39" s="18" t="n">
        <f aca="false">F38</f>
        <v>34859.3564720866</v>
      </c>
      <c r="C39" s="18" t="n">
        <f aca="false">Simulador!C7</f>
        <v>500</v>
      </c>
      <c r="D39" s="18" t="n">
        <f aca="false">B39*Simulador!C8</f>
        <v>278.874851776693</v>
      </c>
      <c r="E39" s="18" t="n">
        <f aca="false">IF(Simulador!C10="Sim",D39,0)</f>
        <v>278.874851776693</v>
      </c>
      <c r="F39" s="18" t="n">
        <f aca="false">B39+C39+E39</f>
        <v>35638.2313238633</v>
      </c>
      <c r="G39" s="18" t="n">
        <f aca="false">G38+D39</f>
        <v>6638.23132386328</v>
      </c>
      <c r="H39" s="18" t="n">
        <f aca="false">H38+IF(Simulador!C10="Não",D39,0)</f>
        <v>0</v>
      </c>
      <c r="I39" s="18" t="n">
        <f aca="false">I38+C39</f>
        <v>29000</v>
      </c>
    </row>
    <row r="40" customFormat="false" ht="15" hidden="false" customHeight="false" outlineLevel="0" collapsed="false">
      <c r="A40" s="17" t="n">
        <v>39</v>
      </c>
      <c r="B40" s="18" t="n">
        <f aca="false">F39</f>
        <v>35638.2313238633</v>
      </c>
      <c r="C40" s="18" t="n">
        <f aca="false">Simulador!C7</f>
        <v>500</v>
      </c>
      <c r="D40" s="18" t="n">
        <f aca="false">B40*Simulador!C8</f>
        <v>285.105850590906</v>
      </c>
      <c r="E40" s="18" t="n">
        <f aca="false">IF(Simulador!C10="Sim",D40,0)</f>
        <v>285.105850590906</v>
      </c>
      <c r="F40" s="18" t="n">
        <f aca="false">B40+C40+E40</f>
        <v>36423.3371744542</v>
      </c>
      <c r="G40" s="18" t="n">
        <f aca="false">G39+D40</f>
        <v>6923.33717445418</v>
      </c>
      <c r="H40" s="18" t="n">
        <f aca="false">H39+IF(Simulador!C10="Não",D40,0)</f>
        <v>0</v>
      </c>
      <c r="I40" s="18" t="n">
        <f aca="false">I39+C40</f>
        <v>29500</v>
      </c>
    </row>
    <row r="41" customFormat="false" ht="15" hidden="false" customHeight="false" outlineLevel="0" collapsed="false">
      <c r="A41" s="17" t="n">
        <v>40</v>
      </c>
      <c r="B41" s="18" t="n">
        <f aca="false">F40</f>
        <v>36423.3371744542</v>
      </c>
      <c r="C41" s="18" t="n">
        <f aca="false">Simulador!C7</f>
        <v>500</v>
      </c>
      <c r="D41" s="18" t="n">
        <f aca="false">B41*Simulador!C8</f>
        <v>291.386697395634</v>
      </c>
      <c r="E41" s="18" t="n">
        <f aca="false">IF(Simulador!C10="Sim",D41,0)</f>
        <v>291.386697395634</v>
      </c>
      <c r="F41" s="18" t="n">
        <f aca="false">B41+C41+E41</f>
        <v>37214.7238718498</v>
      </c>
      <c r="G41" s="18" t="n">
        <f aca="false">G40+D41</f>
        <v>7214.72387184982</v>
      </c>
      <c r="H41" s="18" t="n">
        <f aca="false">H40+IF(Simulador!C10="Não",D41,0)</f>
        <v>0</v>
      </c>
      <c r="I41" s="18" t="n">
        <f aca="false">I40+C41</f>
        <v>30000</v>
      </c>
    </row>
    <row r="42" customFormat="false" ht="15" hidden="false" customHeight="false" outlineLevel="0" collapsed="false">
      <c r="A42" s="17" t="n">
        <v>41</v>
      </c>
      <c r="B42" s="18" t="n">
        <f aca="false">F41</f>
        <v>37214.7238718498</v>
      </c>
      <c r="C42" s="18" t="n">
        <f aca="false">Simulador!C7</f>
        <v>500</v>
      </c>
      <c r="D42" s="18" t="n">
        <f aca="false">B42*Simulador!C8</f>
        <v>297.717790974799</v>
      </c>
      <c r="E42" s="18" t="n">
        <f aca="false">IF(Simulador!C10="Sim",D42,0)</f>
        <v>297.717790974799</v>
      </c>
      <c r="F42" s="18" t="n">
        <f aca="false">B42+C42+E42</f>
        <v>38012.4416628246</v>
      </c>
      <c r="G42" s="18" t="n">
        <f aca="false">G41+D42</f>
        <v>7512.44166282462</v>
      </c>
      <c r="H42" s="18" t="n">
        <f aca="false">H41+IF(Simulador!C10="Não",D42,0)</f>
        <v>0</v>
      </c>
      <c r="I42" s="18" t="n">
        <f aca="false">I41+C42</f>
        <v>30500</v>
      </c>
    </row>
    <row r="43" customFormat="false" ht="15" hidden="false" customHeight="false" outlineLevel="0" collapsed="false">
      <c r="A43" s="17" t="n">
        <v>42</v>
      </c>
      <c r="B43" s="18" t="n">
        <f aca="false">F42</f>
        <v>38012.4416628246</v>
      </c>
      <c r="C43" s="18" t="n">
        <f aca="false">Simulador!C7</f>
        <v>500</v>
      </c>
      <c r="D43" s="18" t="n">
        <f aca="false">B43*Simulador!C8</f>
        <v>304.099533302597</v>
      </c>
      <c r="E43" s="18" t="n">
        <f aca="false">IF(Simulador!C10="Sim",D43,0)</f>
        <v>304.099533302597</v>
      </c>
      <c r="F43" s="18" t="n">
        <f aca="false">B43+C43+E43</f>
        <v>38816.5411961272</v>
      </c>
      <c r="G43" s="18" t="n">
        <f aca="false">G42+D43</f>
        <v>7816.54119612721</v>
      </c>
      <c r="H43" s="18" t="n">
        <f aca="false">H42+IF(Simulador!C10="Não",D43,0)</f>
        <v>0</v>
      </c>
      <c r="I43" s="18" t="n">
        <f aca="false">I42+C43</f>
        <v>31000</v>
      </c>
    </row>
    <row r="44" customFormat="false" ht="15" hidden="false" customHeight="false" outlineLevel="0" collapsed="false">
      <c r="A44" s="17" t="n">
        <v>43</v>
      </c>
      <c r="B44" s="18" t="n">
        <f aca="false">F43</f>
        <v>38816.5411961272</v>
      </c>
      <c r="C44" s="18" t="n">
        <f aca="false">Simulador!C7</f>
        <v>500</v>
      </c>
      <c r="D44" s="18" t="n">
        <f aca="false">B44*Simulador!C8</f>
        <v>310.532329569018</v>
      </c>
      <c r="E44" s="18" t="n">
        <f aca="false">IF(Simulador!C10="Sim",D44,0)</f>
        <v>310.532329569018</v>
      </c>
      <c r="F44" s="18" t="n">
        <f aca="false">B44+C44+E44</f>
        <v>39627.0735256962</v>
      </c>
      <c r="G44" s="18" t="n">
        <f aca="false">G43+D44</f>
        <v>8127.07352569623</v>
      </c>
      <c r="H44" s="18" t="n">
        <f aca="false">H43+IF(Simulador!C10="Não",D44,0)</f>
        <v>0</v>
      </c>
      <c r="I44" s="18" t="n">
        <f aca="false">I43+C44</f>
        <v>31500</v>
      </c>
    </row>
    <row r="45" customFormat="false" ht="15" hidden="false" customHeight="false" outlineLevel="0" collapsed="false">
      <c r="A45" s="17" t="n">
        <v>44</v>
      </c>
      <c r="B45" s="18" t="n">
        <f aca="false">F44</f>
        <v>39627.0735256962</v>
      </c>
      <c r="C45" s="18" t="n">
        <f aca="false">Simulador!C7</f>
        <v>500</v>
      </c>
      <c r="D45" s="18" t="n">
        <f aca="false">B45*Simulador!C8</f>
        <v>317.01658820557</v>
      </c>
      <c r="E45" s="18" t="n">
        <f aca="false">IF(Simulador!C10="Sim",D45,0)</f>
        <v>317.01658820557</v>
      </c>
      <c r="F45" s="18" t="n">
        <f aca="false">B45+C45+E45</f>
        <v>40444.0901139018</v>
      </c>
      <c r="G45" s="18" t="n">
        <f aca="false">G44+D45</f>
        <v>8444.0901139018</v>
      </c>
      <c r="H45" s="18" t="n">
        <f aca="false">H44+IF(Simulador!C10="Não",D45,0)</f>
        <v>0</v>
      </c>
      <c r="I45" s="18" t="n">
        <f aca="false">I44+C45</f>
        <v>32000</v>
      </c>
    </row>
    <row r="46" customFormat="false" ht="15" hidden="false" customHeight="false" outlineLevel="0" collapsed="false">
      <c r="A46" s="17" t="n">
        <v>45</v>
      </c>
      <c r="B46" s="18" t="n">
        <f aca="false">F45</f>
        <v>40444.0901139018</v>
      </c>
      <c r="C46" s="18" t="n">
        <f aca="false">Simulador!C7</f>
        <v>500</v>
      </c>
      <c r="D46" s="18" t="n">
        <f aca="false">B46*Simulador!C8</f>
        <v>323.552720911215</v>
      </c>
      <c r="E46" s="18" t="n">
        <f aca="false">IF(Simulador!C10="Sim",D46,0)</f>
        <v>323.552720911215</v>
      </c>
      <c r="F46" s="18" t="n">
        <f aca="false">B46+C46+E46</f>
        <v>41267.642834813</v>
      </c>
      <c r="G46" s="18" t="n">
        <f aca="false">G45+D46</f>
        <v>8767.64283481302</v>
      </c>
      <c r="H46" s="18" t="n">
        <f aca="false">H45+IF(Simulador!C10="Não",D46,0)</f>
        <v>0</v>
      </c>
      <c r="I46" s="18" t="n">
        <f aca="false">I45+C46</f>
        <v>32500</v>
      </c>
    </row>
    <row r="47" customFormat="false" ht="15" hidden="false" customHeight="false" outlineLevel="0" collapsed="false">
      <c r="A47" s="17" t="n">
        <v>46</v>
      </c>
      <c r="B47" s="18" t="n">
        <f aca="false">F46</f>
        <v>41267.642834813</v>
      </c>
      <c r="C47" s="18" t="n">
        <f aca="false">Simulador!C7</f>
        <v>500</v>
      </c>
      <c r="D47" s="18" t="n">
        <f aca="false">B47*Simulador!C8</f>
        <v>330.141142678504</v>
      </c>
      <c r="E47" s="18" t="n">
        <f aca="false">IF(Simulador!C10="Sim",D47,0)</f>
        <v>330.141142678504</v>
      </c>
      <c r="F47" s="18" t="n">
        <f aca="false">B47+C47+E47</f>
        <v>42097.7839774915</v>
      </c>
      <c r="G47" s="18" t="n">
        <f aca="false">G46+D47</f>
        <v>9097.78397749152</v>
      </c>
      <c r="H47" s="18" t="n">
        <f aca="false">H46+IF(Simulador!C10="Não",D47,0)</f>
        <v>0</v>
      </c>
      <c r="I47" s="18" t="n">
        <f aca="false">I46+C47</f>
        <v>33000</v>
      </c>
    </row>
    <row r="48" customFormat="false" ht="15" hidden="false" customHeight="false" outlineLevel="0" collapsed="false">
      <c r="A48" s="17" t="n">
        <v>47</v>
      </c>
      <c r="B48" s="18" t="n">
        <f aca="false">F47</f>
        <v>42097.7839774915</v>
      </c>
      <c r="C48" s="18" t="n">
        <f aca="false">Simulador!C7</f>
        <v>500</v>
      </c>
      <c r="D48" s="18" t="n">
        <f aca="false">B48*Simulador!C8</f>
        <v>336.782271819932</v>
      </c>
      <c r="E48" s="18" t="n">
        <f aca="false">IF(Simulador!C10="Sim",D48,0)</f>
        <v>336.782271819932</v>
      </c>
      <c r="F48" s="18" t="n">
        <f aca="false">B48+C48+E48</f>
        <v>42934.5662493115</v>
      </c>
      <c r="G48" s="18" t="n">
        <f aca="false">G47+D48</f>
        <v>9434.56624931145</v>
      </c>
      <c r="H48" s="18" t="n">
        <f aca="false">H47+IF(Simulador!C10="Não",D48,0)</f>
        <v>0</v>
      </c>
      <c r="I48" s="18" t="n">
        <f aca="false">I47+C48</f>
        <v>33500</v>
      </c>
    </row>
    <row r="49" customFormat="false" ht="15" hidden="false" customHeight="false" outlineLevel="0" collapsed="false">
      <c r="A49" s="17" t="n">
        <v>48</v>
      </c>
      <c r="B49" s="18" t="n">
        <f aca="false">F48</f>
        <v>42934.5662493115</v>
      </c>
      <c r="C49" s="18" t="n">
        <f aca="false">Simulador!C7</f>
        <v>500</v>
      </c>
      <c r="D49" s="18" t="n">
        <f aca="false">B49*Simulador!C8</f>
        <v>343.476529994492</v>
      </c>
      <c r="E49" s="18" t="n">
        <f aca="false">IF(Simulador!C10="Sim",D49,0)</f>
        <v>343.476529994492</v>
      </c>
      <c r="F49" s="18" t="n">
        <f aca="false">B49+C49+E49</f>
        <v>43778.042779306</v>
      </c>
      <c r="G49" s="18" t="n">
        <f aca="false">G48+D49</f>
        <v>9778.04277930594</v>
      </c>
      <c r="H49" s="18" t="n">
        <f aca="false">H48+IF(Simulador!C10="Não",D49,0)</f>
        <v>0</v>
      </c>
      <c r="I49" s="18" t="n">
        <f aca="false">I48+C49</f>
        <v>34000</v>
      </c>
    </row>
    <row r="50" customFormat="false" ht="15" hidden="false" customHeight="false" outlineLevel="0" collapsed="false">
      <c r="A50" s="17" t="n">
        <v>49</v>
      </c>
      <c r="B50" s="18" t="n">
        <f aca="false">F49</f>
        <v>43778.042779306</v>
      </c>
      <c r="C50" s="18" t="n">
        <f aca="false">Simulador!C7</f>
        <v>500</v>
      </c>
      <c r="D50" s="18" t="n">
        <f aca="false">B50*Simulador!C8</f>
        <v>350.224342234448</v>
      </c>
      <c r="E50" s="18" t="n">
        <f aca="false">IF(Simulador!C10="Sim",D50,0)</f>
        <v>350.224342234448</v>
      </c>
      <c r="F50" s="18" t="n">
        <f aca="false">B50+C50+E50</f>
        <v>44628.2671215404</v>
      </c>
      <c r="G50" s="18" t="n">
        <f aca="false">G49+D50</f>
        <v>10128.2671215404</v>
      </c>
      <c r="H50" s="18" t="n">
        <f aca="false">H49+IF(Simulador!C10="Não",D50,0)</f>
        <v>0</v>
      </c>
      <c r="I50" s="18" t="n">
        <f aca="false">I49+C50</f>
        <v>34500</v>
      </c>
    </row>
    <row r="51" customFormat="false" ht="15" hidden="false" customHeight="false" outlineLevel="0" collapsed="false">
      <c r="A51" s="17" t="n">
        <v>50</v>
      </c>
      <c r="B51" s="18" t="n">
        <f aca="false">F50</f>
        <v>44628.2671215404</v>
      </c>
      <c r="C51" s="18" t="n">
        <f aca="false">Simulador!C7</f>
        <v>500</v>
      </c>
      <c r="D51" s="18" t="n">
        <f aca="false">B51*Simulador!C8</f>
        <v>357.026136972323</v>
      </c>
      <c r="E51" s="18" t="n">
        <f aca="false">IF(Simulador!C10="Sim",D51,0)</f>
        <v>357.026136972323</v>
      </c>
      <c r="F51" s="18" t="n">
        <f aca="false">B51+C51+E51</f>
        <v>45485.2932585127</v>
      </c>
      <c r="G51" s="18" t="n">
        <f aca="false">G50+D51</f>
        <v>10485.2932585127</v>
      </c>
      <c r="H51" s="18" t="n">
        <f aca="false">H50+IF(Simulador!C10="Não",D51,0)</f>
        <v>0</v>
      </c>
      <c r="I51" s="18" t="n">
        <f aca="false">I50+C51</f>
        <v>35000</v>
      </c>
    </row>
    <row r="52" customFormat="false" ht="15" hidden="false" customHeight="false" outlineLevel="0" collapsed="false">
      <c r="A52" s="17" t="n">
        <v>51</v>
      </c>
      <c r="B52" s="18" t="n">
        <f aca="false">F51</f>
        <v>45485.2932585127</v>
      </c>
      <c r="C52" s="18" t="n">
        <f aca="false">Simulador!C7</f>
        <v>500</v>
      </c>
      <c r="D52" s="18" t="n">
        <f aca="false">B52*Simulador!C8</f>
        <v>363.882346068102</v>
      </c>
      <c r="E52" s="18" t="n">
        <f aca="false">IF(Simulador!C10="Sim",D52,0)</f>
        <v>363.882346068102</v>
      </c>
      <c r="F52" s="18" t="n">
        <f aca="false">B52+C52+E52</f>
        <v>46349.1756045808</v>
      </c>
      <c r="G52" s="18" t="n">
        <f aca="false">G51+D52</f>
        <v>10849.1756045808</v>
      </c>
      <c r="H52" s="18" t="n">
        <f aca="false">H51+IF(Simulador!C10="Não",D52,0)</f>
        <v>0</v>
      </c>
      <c r="I52" s="18" t="n">
        <f aca="false">I51+C52</f>
        <v>35500</v>
      </c>
    </row>
    <row r="53" customFormat="false" ht="15" hidden="false" customHeight="false" outlineLevel="0" collapsed="false">
      <c r="A53" s="17" t="n">
        <v>52</v>
      </c>
      <c r="B53" s="18" t="n">
        <f aca="false">F52</f>
        <v>46349.1756045808</v>
      </c>
      <c r="C53" s="18" t="n">
        <f aca="false">Simulador!C7</f>
        <v>500</v>
      </c>
      <c r="D53" s="18" t="n">
        <f aca="false">B53*Simulador!C8</f>
        <v>370.793404836647</v>
      </c>
      <c r="E53" s="18" t="n">
        <f aca="false">IF(Simulador!C10="Sim",D53,0)</f>
        <v>370.793404836647</v>
      </c>
      <c r="F53" s="18" t="n">
        <f aca="false">B53+C53+E53</f>
        <v>47219.9690094175</v>
      </c>
      <c r="G53" s="18" t="n">
        <f aca="false">G52+D53</f>
        <v>11219.9690094175</v>
      </c>
      <c r="H53" s="18" t="n">
        <f aca="false">H52+IF(Simulador!C10="Não",D53,0)</f>
        <v>0</v>
      </c>
      <c r="I53" s="18" t="n">
        <f aca="false">I52+C53</f>
        <v>36000</v>
      </c>
    </row>
    <row r="54" customFormat="false" ht="15" hidden="false" customHeight="false" outlineLevel="0" collapsed="false">
      <c r="A54" s="17" t="n">
        <v>53</v>
      </c>
      <c r="B54" s="18" t="n">
        <f aca="false">F53</f>
        <v>47219.9690094175</v>
      </c>
      <c r="C54" s="18" t="n">
        <f aca="false">Simulador!C7</f>
        <v>500</v>
      </c>
      <c r="D54" s="18" t="n">
        <f aca="false">B54*Simulador!C8</f>
        <v>377.75975207534</v>
      </c>
      <c r="E54" s="18" t="n">
        <f aca="false">IF(Simulador!C10="Sim",D54,0)</f>
        <v>377.75975207534</v>
      </c>
      <c r="F54" s="18" t="n">
        <f aca="false">B54+C54+E54</f>
        <v>48097.7287614928</v>
      </c>
      <c r="G54" s="18" t="n">
        <f aca="false">G53+D54</f>
        <v>11597.7287614928</v>
      </c>
      <c r="H54" s="18" t="n">
        <f aca="false">H53+IF(Simulador!C10="Não",D54,0)</f>
        <v>0</v>
      </c>
      <c r="I54" s="18" t="n">
        <f aca="false">I53+C54</f>
        <v>36500</v>
      </c>
    </row>
    <row r="55" customFormat="false" ht="15" hidden="false" customHeight="false" outlineLevel="0" collapsed="false">
      <c r="A55" s="17" t="n">
        <v>54</v>
      </c>
      <c r="B55" s="18" t="n">
        <f aca="false">F54</f>
        <v>48097.7287614928</v>
      </c>
      <c r="C55" s="18" t="n">
        <f aca="false">Simulador!C7</f>
        <v>500</v>
      </c>
      <c r="D55" s="18" t="n">
        <f aca="false">B55*Simulador!C8</f>
        <v>384.781830091943</v>
      </c>
      <c r="E55" s="18" t="n">
        <f aca="false">IF(Simulador!C10="Sim",D55,0)</f>
        <v>384.781830091943</v>
      </c>
      <c r="F55" s="18" t="n">
        <f aca="false">B55+C55+E55</f>
        <v>48982.5105915848</v>
      </c>
      <c r="G55" s="18" t="n">
        <f aca="false">G54+D55</f>
        <v>11982.5105915847</v>
      </c>
      <c r="H55" s="18" t="n">
        <f aca="false">H54+IF(Simulador!C10="Não",D55,0)</f>
        <v>0</v>
      </c>
      <c r="I55" s="18" t="n">
        <f aca="false">I54+C55</f>
        <v>37000</v>
      </c>
    </row>
    <row r="56" customFormat="false" ht="15" hidden="false" customHeight="false" outlineLevel="0" collapsed="false">
      <c r="A56" s="17" t="n">
        <v>55</v>
      </c>
      <c r="B56" s="18" t="n">
        <f aca="false">F55</f>
        <v>48982.5105915848</v>
      </c>
      <c r="C56" s="18" t="n">
        <f aca="false">Simulador!C7</f>
        <v>500</v>
      </c>
      <c r="D56" s="18" t="n">
        <f aca="false">B56*Simulador!C8</f>
        <v>391.860084732678</v>
      </c>
      <c r="E56" s="18" t="n">
        <f aca="false">IF(Simulador!C10="Sim",D56,0)</f>
        <v>391.860084732678</v>
      </c>
      <c r="F56" s="18" t="n">
        <f aca="false">B56+C56+E56</f>
        <v>49874.3706763174</v>
      </c>
      <c r="G56" s="18" t="n">
        <f aca="false">G55+D56</f>
        <v>12374.3706763174</v>
      </c>
      <c r="H56" s="18" t="n">
        <f aca="false">H55+IF(Simulador!C10="Não",D56,0)</f>
        <v>0</v>
      </c>
      <c r="I56" s="18" t="n">
        <f aca="false">I55+C56</f>
        <v>37500</v>
      </c>
    </row>
    <row r="57" customFormat="false" ht="15" hidden="false" customHeight="false" outlineLevel="0" collapsed="false">
      <c r="A57" s="17" t="n">
        <v>56</v>
      </c>
      <c r="B57" s="18" t="n">
        <f aca="false">F56</f>
        <v>49874.3706763174</v>
      </c>
      <c r="C57" s="18" t="n">
        <f aca="false">Simulador!C7</f>
        <v>500</v>
      </c>
      <c r="D57" s="18" t="n">
        <f aca="false">B57*Simulador!C8</f>
        <v>398.994965410539</v>
      </c>
      <c r="E57" s="18" t="n">
        <f aca="false">IF(Simulador!C10="Sim",D57,0)</f>
        <v>398.994965410539</v>
      </c>
      <c r="F57" s="18" t="n">
        <f aca="false">B57+C57+E57</f>
        <v>50773.365641728</v>
      </c>
      <c r="G57" s="18" t="n">
        <f aca="false">G56+D57</f>
        <v>12773.365641728</v>
      </c>
      <c r="H57" s="18" t="n">
        <f aca="false">H56+IF(Simulador!C10="Não",D57,0)</f>
        <v>0</v>
      </c>
      <c r="I57" s="18" t="n">
        <f aca="false">I56+C57</f>
        <v>38000</v>
      </c>
    </row>
    <row r="58" customFormat="false" ht="15" hidden="false" customHeight="false" outlineLevel="0" collapsed="false">
      <c r="A58" s="17" t="n">
        <v>57</v>
      </c>
      <c r="B58" s="18" t="n">
        <f aca="false">F57</f>
        <v>50773.365641728</v>
      </c>
      <c r="C58" s="18" t="n">
        <f aca="false">Simulador!C7</f>
        <v>500</v>
      </c>
      <c r="D58" s="18" t="n">
        <f aca="false">B58*Simulador!C8</f>
        <v>406.186925133824</v>
      </c>
      <c r="E58" s="18" t="n">
        <f aca="false">IF(Simulador!C10="Sim",D58,0)</f>
        <v>406.186925133824</v>
      </c>
      <c r="F58" s="18" t="n">
        <f aca="false">B58+C58+E58</f>
        <v>51679.5525668618</v>
      </c>
      <c r="G58" s="18" t="n">
        <f aca="false">G57+D58</f>
        <v>13179.5525668618</v>
      </c>
      <c r="H58" s="18" t="n">
        <f aca="false">H57+IF(Simulador!C10="Não",D58,0)</f>
        <v>0</v>
      </c>
      <c r="I58" s="18" t="n">
        <f aca="false">I57+C58</f>
        <v>38500</v>
      </c>
    </row>
    <row r="59" customFormat="false" ht="15" hidden="false" customHeight="false" outlineLevel="0" collapsed="false">
      <c r="A59" s="17" t="n">
        <v>58</v>
      </c>
      <c r="B59" s="18" t="n">
        <f aca="false">F58</f>
        <v>51679.5525668618</v>
      </c>
      <c r="C59" s="18" t="n">
        <f aca="false">Simulador!C7</f>
        <v>500</v>
      </c>
      <c r="D59" s="18" t="n">
        <f aca="false">B59*Simulador!C8</f>
        <v>413.436420534894</v>
      </c>
      <c r="E59" s="18" t="n">
        <f aca="false">IF(Simulador!C10="Sim",D59,0)</f>
        <v>413.436420534894</v>
      </c>
      <c r="F59" s="18" t="n">
        <f aca="false">B59+C59+E59</f>
        <v>52592.9889873967</v>
      </c>
      <c r="G59" s="18" t="n">
        <f aca="false">G58+D59</f>
        <v>13592.9889873967</v>
      </c>
      <c r="H59" s="18" t="n">
        <f aca="false">H58+IF(Simulador!C10="Não",D59,0)</f>
        <v>0</v>
      </c>
      <c r="I59" s="18" t="n">
        <f aca="false">I58+C59</f>
        <v>39000</v>
      </c>
    </row>
    <row r="60" customFormat="false" ht="15" hidden="false" customHeight="false" outlineLevel="0" collapsed="false">
      <c r="A60" s="17" t="n">
        <v>59</v>
      </c>
      <c r="B60" s="18" t="n">
        <f aca="false">F59</f>
        <v>52592.9889873967</v>
      </c>
      <c r="C60" s="18" t="n">
        <f aca="false">Simulador!C7</f>
        <v>500</v>
      </c>
      <c r="D60" s="18" t="n">
        <f aca="false">B60*Simulador!C8</f>
        <v>420.743911899174</v>
      </c>
      <c r="E60" s="18" t="n">
        <f aca="false">IF(Simulador!C10="Sim",D60,0)</f>
        <v>420.743911899174</v>
      </c>
      <c r="F60" s="18" t="n">
        <f aca="false">B60+C60+E60</f>
        <v>53513.7328992959</v>
      </c>
      <c r="G60" s="18" t="n">
        <f aca="false">G59+D60</f>
        <v>14013.7328992959</v>
      </c>
      <c r="H60" s="18" t="n">
        <f aca="false">H59+IF(Simulador!C10="Não",D60,0)</f>
        <v>0</v>
      </c>
      <c r="I60" s="18" t="n">
        <f aca="false">I59+C60</f>
        <v>39500</v>
      </c>
    </row>
    <row r="61" customFormat="false" ht="15" hidden="false" customHeight="false" outlineLevel="0" collapsed="false">
      <c r="A61" s="17" t="n">
        <v>60</v>
      </c>
      <c r="B61" s="18" t="n">
        <f aca="false">F60</f>
        <v>53513.7328992959</v>
      </c>
      <c r="C61" s="18" t="n">
        <f aca="false">Simulador!C7</f>
        <v>500</v>
      </c>
      <c r="D61" s="18" t="n">
        <f aca="false">B61*Simulador!C8</f>
        <v>428.109863194367</v>
      </c>
      <c r="E61" s="18" t="n">
        <f aca="false">IF(Simulador!C10="Sim",D61,0)</f>
        <v>428.109863194367</v>
      </c>
      <c r="F61" s="18" t="n">
        <f aca="false">B61+C61+E61</f>
        <v>54441.8427624902</v>
      </c>
      <c r="G61" s="18" t="n">
        <f aca="false">G60+D61</f>
        <v>14441.8427624902</v>
      </c>
      <c r="H61" s="18" t="n">
        <f aca="false">H60+IF(Simulador!C10="Não",D61,0)</f>
        <v>0</v>
      </c>
      <c r="I61" s="18" t="n">
        <f aca="false">I60+C61</f>
        <v>40000</v>
      </c>
    </row>
    <row r="63" customFormat="false" ht="15" hidden="false" customHeight="false" outlineLevel="0" collapsed="false">
      <c r="A63" s="19" t="s">
        <v>29</v>
      </c>
      <c r="B63" s="19"/>
      <c r="C63" s="19"/>
      <c r="D63" s="19"/>
      <c r="E63" s="19"/>
      <c r="F63" s="19"/>
      <c r="G63" s="19"/>
      <c r="H63" s="19"/>
      <c r="I63" s="19"/>
    </row>
  </sheetData>
  <mergeCells count="1">
    <mergeCell ref="A63:I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2026-09-11T00:09:02Z</dcterms:created>
  <dc:creator>openpyxl</dc:creator>
  <dc:description/>
  <dc:language>en-US</dc:language>
  <cp:lastModifiedBy/>
  <dcterms:modified xsi:type="dcterms:W3CDTF">2026-09-11T00:09:11Z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